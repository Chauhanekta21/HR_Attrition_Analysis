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HR_Attrition_Dataset/"/>
    </mc:Choice>
  </mc:AlternateContent>
  <xr:revisionPtr revIDLastSave="18" documentId="8_{A15DF60A-01BE-453B-92F1-53F3912642DF}" xr6:coauthVersionLast="47" xr6:coauthVersionMax="47" xr10:uidLastSave="{E3FB4046-0BD4-4021-AEA1-1E01B3CE43E3}"/>
  <bookViews>
    <workbookView xWindow="-120" yWindow="-120" windowWidth="20730" windowHeight="11040" firstSheet="7" activeTab="10" xr2:uid="{A17C5757-095D-46CE-98E6-A06442B174DD}"/>
  </bookViews>
  <sheets>
    <sheet name="Fact_Attrition" sheetId="6" r:id="rId1"/>
    <sheet name="Dim_Satisfaction" sheetId="5" r:id="rId2"/>
    <sheet name="Dim_Performance" sheetId="4" r:id="rId3"/>
    <sheet name="Dim_Employee (1)" sheetId="3" r:id="rId4"/>
    <sheet name="Dim_Date (1)" sheetId="2" r:id="rId5"/>
    <sheet name="Pivot_Dept_Attrition" sheetId="7" r:id="rId6"/>
    <sheet name="Pivot_Gender_Attrition" sheetId="8" r:id="rId7"/>
    <sheet name="pivot_Avg_Perf_Years" sheetId="13" r:id="rId8"/>
    <sheet name="Pivot_Satisfaction" sheetId="15" r:id="rId9"/>
    <sheet name="Pivot_Dept_OT_Rate" sheetId="18" r:id="rId10"/>
    <sheet name="Dashboard" sheetId="19" r:id="rId11"/>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4" hidden="1">'Dim_Date (1)'!$A$1:$F$37</definedName>
    <definedName name="ExternalData_2" localSheetId="3" hidden="1">'Dim_Employee (1)'!$A$1:$L$61</definedName>
    <definedName name="ExternalData_3" localSheetId="2" hidden="1">Dim_Performance!$A$1:$F$181</definedName>
    <definedName name="ExternalData_4" localSheetId="1" hidden="1">Dim_Satisfaction!$A$1:$G$181</definedName>
    <definedName name="ExternalData_5" localSheetId="0" hidden="1">Fact_Attrition!$A$1:$J$1798</definedName>
    <definedName name="Slicer_Department">#N/A</definedName>
    <definedName name="Slicer_Department1">#N/A</definedName>
  </definedNames>
  <calcPr calcId="191029"/>
  <pivotCaches>
    <pivotCache cacheId="162" r:id="rId12"/>
    <pivotCache cacheId="278" r:id="rId13"/>
    <pivotCache cacheId="281" r:id="rId14"/>
    <pivotCache cacheId="284" r:id="rId15"/>
  </pivotCaches>
  <extLst>
    <ext xmlns:x14="http://schemas.microsoft.com/office/spreadsheetml/2009/9/main" uri="{876F7934-8845-4945-9796-88D515C7AA90}">
      <x14:pivotCaches>
        <pivotCache cacheId="182" r:id="rId16"/>
      </x14:pivotCaches>
    </ex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773D35D4-766E-4F19-8F77-1B220D6FF7C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sharedStrings.xml><?xml version="1.0" encoding="utf-8"?>
<sst xmlns="http://schemas.openxmlformats.org/spreadsheetml/2006/main" count="12868" uniqueCount="2442">
  <si>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</si>
  <si>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</si>
  <si>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</si>
  <si>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</si>
  <si>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</si>
  <si>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</si>
  <si>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</si>
  <si>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</si>
  <si>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</si>
  <si>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</si>
  <si>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</si>
  <si>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</si>
  <si>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</si>
  <si>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</si>
  <si>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</si>
  <si>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</si>
  <si>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</si>
  <si>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</si>
  <si>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</si>
  <si>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</si>
  <si>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</si>
  <si>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</si>
  <si>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</si>
  <si>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</si>
  <si>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</si>
  <si>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</si>
  <si>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</si>
  <si>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</si>
  <si>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</si>
  <si>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</si>
  <si>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</si>
  <si>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</si>
  <si>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</si>
  <si>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</si>
  <si>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</si>
  <si>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</si>
  <si>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</si>
  <si>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</si>
  <si>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</si>
  <si>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</si>
  <si>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</si>
  <si>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</si>
  <si>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</si>
  <si>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</si>
  <si>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</si>
  <si>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</si>
  <si>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</si>
  <si>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</si>
  <si>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</si>
  <si>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</si>
  <si>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</si>
  <si>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</si>
  <si>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</si>
  <si>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</si>
  <si>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</si>
  <si>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</si>
  <si>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</si>
  <si>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</si>
  <si>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</si>
  <si>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</si>
  <si>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</si>
  <si>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</si>
  <si>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</si>
  <si>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</si>
  <si>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</si>
  <si>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</si>
  <si>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</si>
  <si>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</si>
  <si>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</si>
  <si>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</si>
  <si>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</si>
  <si>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</si>
  <si>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</si>
  <si>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</si>
  <si>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</si>
  <si>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</si>
  <si>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</si>
  <si>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</si>
  <si>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</si>
  <si>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</si>
  <si>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</si>
  <si>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</si>
  <si>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</si>
  <si>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</si>
  <si>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</si>
  <si>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</si>
  <si>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</si>
  <si>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</si>
  <si>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</si>
  <si>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</si>
  <si>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</si>
  <si>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</si>
  <si>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</si>
  <si>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</si>
  <si>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</si>
  <si>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</si>
  <si>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</si>
  <si>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</si>
  <si>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</si>
  <si>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</si>
  <si>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</si>
  <si>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</si>
  <si>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</si>
  <si>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</si>
  <si>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</si>
  <si>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</si>
  <si>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</si>
  <si>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</si>
  <si>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</si>
  <si>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</si>
  <si>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</si>
  <si>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</si>
  <si>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</si>
  <si>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</si>
  <si>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</si>
  <si>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</si>
  <si>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</si>
  <si>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</si>
  <si>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</si>
  <si>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</si>
  <si>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</si>
  <si>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</si>
  <si>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</si>
  <si>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</si>
  <si>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</si>
  <si>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</si>
  <si>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</si>
  <si>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</si>
  <si>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</si>
  <si>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</si>
  <si>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</si>
  <si>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</si>
  <si>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</si>
  <si>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</si>
  <si>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</si>
  <si>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</si>
  <si>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</si>
  <si>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</si>
  <si>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</si>
  <si>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</si>
  <si>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</si>
  <si>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</si>
  <si>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</si>
  <si>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</si>
  <si>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</si>
  <si>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</si>
  <si>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</si>
  <si>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</si>
  <si>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</si>
  <si>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</si>
  <si>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</si>
  <si>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</si>
  <si>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</si>
  <si>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</si>
  <si>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</si>
  <si>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</si>
  <si>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</si>
  <si>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</si>
  <si>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</si>
  <si>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</si>
  <si>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</si>
  <si>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</si>
  <si>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</si>
  <si>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</si>
  <si>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</si>
  <si>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</si>
  <si>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</si>
  <si>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</si>
  <si>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</si>
  <si>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</si>
  <si>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</si>
  <si>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</si>
  <si>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</si>
  <si>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</si>
  <si>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</si>
  <si>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</si>
  <si>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</si>
  <si>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</si>
  <si>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</si>
  <si>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</si>
  <si>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</si>
  <si>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</si>
  <si>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</si>
  <si>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</si>
  <si>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</si>
  <si>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</si>
  <si>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</si>
  <si>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</si>
  <si>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</si>
  <si>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</si>
  <si>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</si>
  <si>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</si>
  <si>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</si>
  <si>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</si>
  <si>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</si>
  <si>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</si>
  <si>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</si>
  <si>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</si>
  <si>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</si>
  <si>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</si>
  <si>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</si>
  <si>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</si>
  <si>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</si>
  <si>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</si>
  <si>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</si>
  <si>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</si>
  <si>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</si>
  <si>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</si>
  <si>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</si>
  <si>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</si>
  <si>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</si>
  <si>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</si>
  <si>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</si>
  <si>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</si>
  <si>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</si>
  <si>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</si>
  <si>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</si>
  <si>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</si>
  <si>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</si>
  <si>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</si>
  <si>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</si>
  <si>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</si>
  <si>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</si>
  <si>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</si>
  <si>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</si>
  <si>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</si>
  <si>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</si>
  <si>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</si>
  <si>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</si>
  <si>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</si>
  <si>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</si>
  <si>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</si>
  <si>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</si>
  <si>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</si>
  <si>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</si>
  <si>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</si>
  <si>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</si>
  <si>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</si>
  <si>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</si>
  <si>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</si>
  <si>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</si>
  <si>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</si>
  <si>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</si>
  <si>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</si>
  <si>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</si>
  <si>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</si>
  <si>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</si>
  <si>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</si>
  <si>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</si>
  <si>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</si>
  <si>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</si>
  <si>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</si>
  <si>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</si>
  <si>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</si>
  <si>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</si>
  <si>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</si>
  <si>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</si>
  <si>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</si>
  <si>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</si>
  <si>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</si>
  <si>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</si>
  <si>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</si>
  <si>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</si>
  <si>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</si>
  <si>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</si>
  <si>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</si>
  <si>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</si>
  <si>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</si>
  <si>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</si>
  <si>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</si>
  <si>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</si>
  <si>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</si>
  <si>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</si>
  <si>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</si>
  <si>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</si>
  <si>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</si>
  <si>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</si>
  <si>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</si>
  <si>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</si>
  <si>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</si>
  <si>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</si>
  <si>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</si>
  <si>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</si>
  <si>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</si>
  <si>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</si>
  <si>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</si>
  <si>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</si>
  <si>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</si>
  <si>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</si>
  <si>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</si>
  <si>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</si>
  <si>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</si>
  <si>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</si>
  <si>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</si>
  <si>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</si>
  <si>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</si>
  <si>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</si>
  <si>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</si>
  <si>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</si>
  <si>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</si>
  <si>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</si>
  <si>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</si>
  <si>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</si>
  <si>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</si>
  <si>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</si>
  <si>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</si>
  <si>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</si>
  <si>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</si>
  <si>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</si>
  <si>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</si>
  <si>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</si>
  <si>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</si>
  <si>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</si>
  <si>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</si>
  <si>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</si>
  <si>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</si>
  <si>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</si>
  <si>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</si>
  <si>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</si>
  <si>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</si>
  <si>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</si>
  <si>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</si>
  <si>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</si>
  <si>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</si>
  <si>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</si>
  <si>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</si>
  <si>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</si>
  <si>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</si>
  <si>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</si>
  <si>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</si>
  <si>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</si>
  <si>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</si>
  <si>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</si>
  <si>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</si>
  <si>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</si>
  <si>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</si>
  <si>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</si>
  <si>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</si>
  <si>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</si>
  <si>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</si>
  <si>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</si>
  <si>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</si>
  <si>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</si>
  <si>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</si>
  <si>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</si>
  <si>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</si>
  <si>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</si>
  <si>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</si>
  <si>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</si>
  <si>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</si>
  <si>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</si>
  <si>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</si>
  <si>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</si>
  <si>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</si>
  <si>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</si>
  <si>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</si>
  <si>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</si>
  <si>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</si>
  <si>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</si>
  <si>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</si>
  <si>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</si>
  <si>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</si>
  <si>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</si>
  <si>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</si>
  <si>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</si>
  <si>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</si>
  <si>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</si>
  <si>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</si>
  <si>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</si>
  <si>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</si>
  <si>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</si>
  <si>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</si>
  <si>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</si>
  <si>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</si>
  <si>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</si>
  <si>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</si>
  <si>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</si>
  <si>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</si>
  <si>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</si>
  <si>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</si>
  <si>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</si>
  <si>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</si>
  <si>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</si>
  <si>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</si>
  <si>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</si>
  <si>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</si>
  <si>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</si>
  <si>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</si>
  <si>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</si>
  <si>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</si>
  <si>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</si>
  <si>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</si>
  <si>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</si>
  <si>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</si>
  <si>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</si>
  <si>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</si>
  <si>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</si>
  <si>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</si>
  <si>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</si>
  <si>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</si>
  <si>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</si>
  <si>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</si>
  <si>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</si>
  <si>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</si>
  <si>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</si>
  <si>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</si>
  <si>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</si>
  <si>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</si>
  <si>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</si>
  <si>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</si>
  <si>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</si>
  <si>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</si>
  <si>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</si>
  <si>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</si>
  <si>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</si>
  <si>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</si>
  <si>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</si>
  <si>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</si>
  <si>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</si>
  <si>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</si>
  <si>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</si>
  <si>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</si>
  <si>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</si>
  <si>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</si>
  <si>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</si>
  <si>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</si>
  <si>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</si>
  <si>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</si>
  <si>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</si>
  <si>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</si>
  <si>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</si>
  <si>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</si>
  <si>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</si>
  <si>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</si>
  <si>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</si>
  <si>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</si>
  <si>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</si>
  <si>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</si>
  <si>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</si>
  <si>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</si>
  <si>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</si>
  <si>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</si>
  <si>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</si>
  <si>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</si>
  <si>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</si>
  <si>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</si>
  <si>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</si>
  <si>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</si>
  <si>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</si>
  <si>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</si>
  <si>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</si>
  <si>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</si>
  <si>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</si>
  <si>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</si>
  <si>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</si>
  <si>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</si>
  <si>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</si>
  <si>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</si>
  <si>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</si>
  <si>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</si>
  <si>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</si>
  <si>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</si>
  <si>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</si>
  <si>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</si>
  <si>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</si>
  <si>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</si>
  <si>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</si>
  <si>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</si>
  <si>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</si>
  <si>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</si>
  <si>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</si>
  <si>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</si>
  <si>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</si>
  <si>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</si>
  <si>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</si>
  <si>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</si>
  <si>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</si>
  <si>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</si>
  <si>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</si>
  <si>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</si>
  <si>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</si>
  <si>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</si>
  <si>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</si>
  <si>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</si>
  <si>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</si>
  <si>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</si>
  <si>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</si>
  <si>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</si>
  <si>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</si>
  <si>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</si>
  <si>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</si>
  <si>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</si>
  <si>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</si>
  <si>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</si>
  <si>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</si>
  <si>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</si>
  <si>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</si>
  <si>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</si>
  <si>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</si>
  <si>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</si>
  <si>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</si>
  <si>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</si>
  <si>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</si>
  <si>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</si>
  <si>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</si>
  <si>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</si>
  <si>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</si>
  <si>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</si>
  <si>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</si>
  <si>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</si>
  <si>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</si>
  <si>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</si>
  <si>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</si>
  <si>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</si>
  <si>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</si>
  <si>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</si>
  <si>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</si>
  <si>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</si>
  <si>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</si>
  <si>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</si>
  <si>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</si>
  <si>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</si>
  <si>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</si>
  <si>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</si>
  <si>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</si>
  <si>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</si>
  <si>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</si>
  <si>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</si>
  <si>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</si>
  <si>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</si>
  <si>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</si>
  <si>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</si>
  <si>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</si>
  <si>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</si>
  <si>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</si>
  <si>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</si>
  <si>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</si>
  <si>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</si>
  <si>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</si>
  <si>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</si>
  <si>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</si>
  <si>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</si>
  <si>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</si>
  <si>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</si>
  <si>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</si>
  <si>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</si>
  <si>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</si>
  <si>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</si>
  <si>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</si>
  <si>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</si>
  <si>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</si>
  <si>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</si>
  <si>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</si>
  <si>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</si>
  <si>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</si>
  <si>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</si>
  <si>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</si>
  <si>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</si>
  <si>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</si>
  <si>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</si>
  <si>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</si>
  <si>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</si>
  <si>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</si>
  <si>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</si>
  <si>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</si>
  <si>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</si>
  <si>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</si>
  <si>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</si>
  <si>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</si>
  <si>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</si>
  <si>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</si>
  <si>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</si>
  <si>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</si>
  <si>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</si>
  <si>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</si>
  <si>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</si>
  <si>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</si>
  <si>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</si>
  <si>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</si>
  <si>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</si>
  <si>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</si>
  <si>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</si>
  <si>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</si>
  <si>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</si>
  <si>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</si>
  <si>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</si>
  <si>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</si>
  <si>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</si>
  <si>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</si>
  <si>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</si>
  <si>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</si>
  <si>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</si>
  <si>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</si>
  <si>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</si>
  <si>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</si>
  <si>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</si>
  <si>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</si>
  <si>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</si>
  <si>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</si>
  <si>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</si>
  <si>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</si>
  <si>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</si>
  <si>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</si>
  <si>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</si>
  <si>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</si>
  <si>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</si>
  <si>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</si>
  <si>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</si>
  <si>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</si>
  <si>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</si>
  <si>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</si>
  <si>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</si>
  <si>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</si>
  <si>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</si>
  <si>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</si>
  <si>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</si>
  <si>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</si>
  <si>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</si>
  <si>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</si>
  <si>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</si>
  <si>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</si>
  <si>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</si>
  <si>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</si>
  <si>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</si>
  <si>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</si>
  <si>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</si>
  <si>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</si>
  <si>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</si>
  <si>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</si>
  <si>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</si>
  <si>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</si>
  <si>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</si>
  <si>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</si>
  <si>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</si>
  <si>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</si>
  <si>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</si>
  <si>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</si>
  <si>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</si>
  <si>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</si>
  <si>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</si>
  <si>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</si>
  <si>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</si>
  <si>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</si>
  <si>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</si>
  <si>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</si>
  <si>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</si>
  <si>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</si>
  <si>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</si>
  <si>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</si>
  <si>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</si>
  <si>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</si>
  <si>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</si>
  <si>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</si>
  <si>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</si>
  <si>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</si>
  <si>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</si>
  <si>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</si>
  <si>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</si>
  <si>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</si>
  <si>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</si>
  <si>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</si>
  <si>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</si>
  <si>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</si>
  <si>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</si>
  <si>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</si>
  <si>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</si>
  <si>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</si>
  <si>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</si>
  <si>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</si>
  <si>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</si>
  <si>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</si>
  <si>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</si>
  <si>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</si>
  <si>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</si>
  <si>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</si>
  <si>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</si>
  <si>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</si>
  <si>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</si>
  <si>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</si>
  <si>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</si>
  <si>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</si>
  <si>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</si>
  <si>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</si>
  <si>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</si>
  <si>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</si>
  <si>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</si>
  <si>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</si>
  <si>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</si>
  <si>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</si>
  <si>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</si>
  <si>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</si>
  <si>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</si>
  <si>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</si>
  <si>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</si>
  <si>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</si>
  <si>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</si>
  <si>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</si>
  <si>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</si>
  <si>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</si>
  <si>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</si>
  <si>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</si>
  <si>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</si>
  <si>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</si>
  <si>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</si>
  <si>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</si>
  <si>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</si>
  <si>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</si>
  <si>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</si>
  <si>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</si>
  <si>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</si>
  <si>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</si>
  <si>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</si>
  <si>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</si>
  <si>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</si>
  <si>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</si>
  <si>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</si>
  <si>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</si>
  <si>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</si>
  <si>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</si>
  <si>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</si>
  <si>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</si>
  <si>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</si>
  <si>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</si>
  <si>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</si>
  <si>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</si>
  <si>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</si>
  <si>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</si>
  <si>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</si>
  <si>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</si>
  <si>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</si>
  <si>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</si>
  <si>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</si>
  <si>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</si>
  <si>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</si>
  <si>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</si>
  <si>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</si>
  <si>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</si>
  <si>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</si>
  <si>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</si>
  <si>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</si>
  <si>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</si>
  <si>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</si>
  <si>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</si>
  <si>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</si>
  <si>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</si>
  <si>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</si>
  <si>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</si>
  <si>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</si>
  <si>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</si>
  <si>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</si>
  <si>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</si>
  <si>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</si>
  <si>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</si>
  <si>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</si>
  <si>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</si>
  <si>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</si>
  <si>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</si>
  <si>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</si>
  <si>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</si>
  <si>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</si>
  <si>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</si>
  <si>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</si>
  <si>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</si>
  <si>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</si>
  <si>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</si>
  <si>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</si>
  <si>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</si>
  <si>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</si>
  <si>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</si>
  <si>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</si>
  <si>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</si>
  <si>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</si>
  <si>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</si>
  <si>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</si>
  <si>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</si>
  <si>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</si>
  <si>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</si>
  <si>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</si>
  <si>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</si>
  <si>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</si>
  <si>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</si>
  <si>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</si>
  <si>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</si>
  <si>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</si>
  <si>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</si>
  <si>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</si>
  <si>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</si>
  <si>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</si>
  <si>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</si>
  <si>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</si>
  <si>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</si>
  <si>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</si>
  <si>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</si>
  <si>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</si>
  <si>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</si>
  <si>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</si>
  <si>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</si>
  <si>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</si>
  <si>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</si>
  <si>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</si>
  <si>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</si>
  <si>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</si>
  <si>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</si>
  <si>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</si>
  <si>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</si>
  <si>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</si>
  <si>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</si>
  <si>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</si>
  <si>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</si>
  <si>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</si>
  <si>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</si>
  <si>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</si>
  <si>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</si>
  <si>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</si>
  <si>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</si>
  <si>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</si>
  <si>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</si>
  <si>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</si>
  <si>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</si>
  <si>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</si>
  <si>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</si>
  <si>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</si>
  <si>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</si>
  <si>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</si>
  <si>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</si>
  <si>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</si>
  <si>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</si>
  <si>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</si>
  <si>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</si>
  <si>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</si>
  <si>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</si>
  <si>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</si>
  <si>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</si>
  <si>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</si>
  <si>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</si>
  <si>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</si>
  <si>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</si>
  <si>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</si>
  <si>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</si>
  <si>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</si>
  <si>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</si>
  <si>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</si>
  <si>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</si>
  <si>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</si>
  <si>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</si>
  <si>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</si>
  <si>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</si>
  <si>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</si>
  <si>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</si>
  <si>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</si>
  <si>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</si>
  <si>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</si>
  <si>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</si>
  <si>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</si>
  <si>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</si>
  <si>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</si>
  <si>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</si>
  <si>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</si>
  <si>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</si>
  <si>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</si>
  <si>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</si>
  <si>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</si>
  <si>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</si>
  <si>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</si>
  <si>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</si>
  <si>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</si>
  <si>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</si>
  <si>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</si>
  <si>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</si>
  <si>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</si>
  <si>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</si>
  <si>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</si>
  <si>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</si>
  <si>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</si>
  <si>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</si>
  <si>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</si>
  <si>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</si>
  <si>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</si>
  <si>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</si>
  <si>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</si>
  <si>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</si>
  <si>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</si>
  <si>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</si>
  <si>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</si>
  <si>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</si>
  <si>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</si>
  <si>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</si>
  <si>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</si>
  <si>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</si>
  <si>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</si>
  <si>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</si>
  <si>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</si>
  <si>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</si>
  <si>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</si>
  <si>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</si>
  <si>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</si>
  <si>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</si>
  <si>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</si>
  <si>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</si>
  <si>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</si>
  <si>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</si>
  <si>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</si>
  <si>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</si>
  <si>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</si>
  <si>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</si>
  <si>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</si>
  <si>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</si>
  <si>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</si>
  <si>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</si>
  <si>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</si>
  <si>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</si>
  <si>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</si>
  <si>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</si>
  <si>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</si>
  <si>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</si>
  <si>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</si>
  <si>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</si>
  <si>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</si>
  <si>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</si>
  <si>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</si>
  <si>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</si>
  <si>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</si>
  <si>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</si>
  <si>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</si>
  <si>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</si>
  <si>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</si>
  <si>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</si>
  <si>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</si>
  <si>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</si>
  <si>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</si>
  <si>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</si>
  <si>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</si>
  <si>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</si>
  <si>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</si>
  <si>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</si>
  <si>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</si>
  <si>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</si>
  <si>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</si>
  <si>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</si>
  <si>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</si>
  <si>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</si>
  <si>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</si>
  <si>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</si>
  <si>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</si>
  <si>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</si>
  <si>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</si>
  <si>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</si>
  <si>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</si>
  <si>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</si>
  <si>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</si>
  <si>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</si>
  <si>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</si>
  <si>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</si>
  <si>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</si>
  <si>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</si>
  <si>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</si>
  <si>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</si>
  <si>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</si>
  <si>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</si>
  <si>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</si>
  <si>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</si>
  <si>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</si>
  <si>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</si>
  <si>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</si>
  <si>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</si>
  <si>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</si>
  <si>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</si>
  <si>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</si>
  <si>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</si>
  <si>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</si>
  <si>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</si>
  <si>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</si>
  <si>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</si>
  <si>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</si>
  <si>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</si>
  <si>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</si>
  <si>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</si>
  <si>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</si>
  <si>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</si>
  <si>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</si>
  <si>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</si>
  <si>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</si>
  <si>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</si>
  <si>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</si>
  <si>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</si>
  <si>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</si>
  <si>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</si>
  <si>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</si>
  <si>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</si>
  <si>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</si>
  <si>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</si>
  <si>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</si>
  <si>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</si>
  <si>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</si>
  <si>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</si>
  <si>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</si>
  <si>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</si>
  <si>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</si>
  <si>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</si>
  <si>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</si>
  <si>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</si>
  <si>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</si>
  <si>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</si>
  <si>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</si>
  <si>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</si>
  <si>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</si>
  <si>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</si>
  <si>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</si>
  <si>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</si>
  <si>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</si>
  <si>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</si>
  <si>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</si>
  <si>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</si>
  <si>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</si>
  <si>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</si>
  <si>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</si>
  <si>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</si>
  <si>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</si>
  <si>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</si>
  <si>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</si>
  <si>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</si>
  <si>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</si>
  <si>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</si>
  <si>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</si>
  <si>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</si>
  <si>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</si>
  <si>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</si>
  <si>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</si>
  <si>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</si>
  <si>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</si>
  <si>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</si>
  <si>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</si>
  <si>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</si>
  <si>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</si>
  <si>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</si>
  <si>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</si>
  <si>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</si>
  <si>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</si>
  <si>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</si>
  <si>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</si>
  <si>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</si>
  <si>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</si>
  <si>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</si>
  <si>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</si>
  <si>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</si>
  <si>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</si>
  <si>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</si>
  <si>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</si>
  <si>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</si>
  <si>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</si>
  <si>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</si>
  <si>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</si>
  <si>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</si>
  <si>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</si>
  <si>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</si>
  <si>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</si>
  <si>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</si>
  <si>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</si>
  <si>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</si>
  <si>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</si>
  <si>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</si>
  <si>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</si>
  <si>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</si>
  <si>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</si>
  <si>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</si>
  <si>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</si>
  <si>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</si>
  <si>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</si>
  <si>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</si>
  <si>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</si>
  <si>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</si>
  <si>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</si>
  <si>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</si>
  <si>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</si>
  <si>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</si>
  <si>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</si>
  <si>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</si>
  <si>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</si>
  <si>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</si>
  <si>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</si>
  <si>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</si>
  <si>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</si>
  <si>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</si>
  <si>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</si>
  <si>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</si>
  <si>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</si>
  <si>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</si>
  <si>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</si>
  <si>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</si>
  <si>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</si>
  <si>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</si>
  <si>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</si>
  <si>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</si>
  <si>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</si>
  <si>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</si>
  <si>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</si>
  <si>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</si>
  <si>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</si>
  <si>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</si>
  <si>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</si>
  <si>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</si>
  <si>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</si>
  <si>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</si>
  <si>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</si>
  <si>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</si>
  <si>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</si>
  <si>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</si>
  <si>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</si>
  <si>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</si>
  <si>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</si>
  <si>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</si>
  <si>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</si>
  <si>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</si>
  <si>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</si>
  <si>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</si>
  <si>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</si>
  <si>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</si>
  <si>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</si>
  <si>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</si>
  <si>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</si>
  <si>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</si>
  <si>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</si>
  <si>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</si>
  <si>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</si>
  <si>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</si>
  <si>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</si>
  <si>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</si>
  <si>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</si>
  <si>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</si>
  <si>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</si>
  <si>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</si>
  <si>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</si>
  <si>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</si>
  <si>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</si>
  <si>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</si>
  <si>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</si>
  <si>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</si>
  <si>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</si>
  <si>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</si>
  <si>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</si>
  <si>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</si>
  <si>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</si>
  <si>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</si>
  <si>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</si>
  <si>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</si>
  <si>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</si>
  <si>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</si>
  <si>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</si>
  <si>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</si>
  <si>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</si>
  <si>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</si>
  <si>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</si>
  <si>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</si>
  <si>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</si>
  <si>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</si>
  <si>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</si>
  <si>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</si>
  <si>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</si>
  <si>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</si>
  <si>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</si>
  <si>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</si>
  <si>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</si>
  <si>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</si>
  <si>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</si>
  <si>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</si>
  <si>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</si>
  <si>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</si>
  <si>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</si>
  <si>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</si>
  <si>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</si>
  <si>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</si>
  <si>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</si>
  <si>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</si>
  <si>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</si>
  <si>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</si>
  <si>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</si>
  <si>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</si>
  <si>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</si>
  <si>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</si>
  <si>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</si>
  <si>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</si>
  <si>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</si>
  <si>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</si>
  <si>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</si>
  <si>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</si>
  <si>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</si>
  <si>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</si>
  <si>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</si>
  <si>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</si>
  <si>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</si>
  <si>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</si>
  <si>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</si>
  <si>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</si>
  <si>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</si>
  <si>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</si>
  <si>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</si>
  <si>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</si>
  <si>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</si>
  <si>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</si>
  <si>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</si>
  <si>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</si>
  <si>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</si>
  <si>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</si>
  <si>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</si>
  <si>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</si>
  <si>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</si>
  <si>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</si>
  <si>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</si>
  <si>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</si>
  <si>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</si>
  <si>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</si>
  <si>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</si>
  <si>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</si>
  <si>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</si>
  <si>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</si>
  <si>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</si>
  <si>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</si>
  <si>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</si>
  <si>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</si>
  <si>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</si>
  <si>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</si>
  <si>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</si>
  <si>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</si>
  <si>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</si>
  <si>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</si>
  <si>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</si>
  <si>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</si>
  <si>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</si>
  <si>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</si>
  <si>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</si>
  <si>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</si>
  <si>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</si>
  <si>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</si>
  <si>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</si>
  <si>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</si>
  <si>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</si>
  <si>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</si>
  <si>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</si>
  <si>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</si>
  <si>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</si>
  <si>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</si>
  <si>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</si>
  <si>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</si>
  <si>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</si>
  <si>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</si>
  <si>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</si>
  <si>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</si>
  <si>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</si>
  <si>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</si>
  <si>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</si>
  <si>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</si>
  <si>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</si>
  <si>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</si>
  <si>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</si>
  <si>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</si>
  <si>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</si>
  <si>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</si>
  <si>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</si>
  <si>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</si>
  <si>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</si>
  <si>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</si>
  <si>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</si>
  <si>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</si>
  <si>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</si>
  <si>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</si>
  <si>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</si>
  <si>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</si>
  <si>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</si>
  <si>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</si>
  <si>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</si>
  <si>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</si>
  <si>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</si>
  <si>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</si>
  <si>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</si>
  <si>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</si>
  <si>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</si>
  <si>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</si>
  <si>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</si>
  <si>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</si>
  <si>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</si>
  <si>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</si>
  <si>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</si>
  <si>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</si>
  <si>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</si>
  <si>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</si>
  <si>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</si>
  <si>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</si>
  <si>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</si>
  <si>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</si>
  <si>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</si>
  <si>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</si>
  <si>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</si>
  <si>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</si>
  <si>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</si>
  <si>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</si>
  <si>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</si>
  <si>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</si>
  <si>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</si>
  <si>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</si>
  <si>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</si>
  <si>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</si>
  <si>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</si>
  <si>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</si>
  <si>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</si>
  <si>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</si>
  <si>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</si>
  <si>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</si>
  <si>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</si>
  <si>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</si>
  <si>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</si>
  <si>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</si>
  <si>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</si>
  <si>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</si>
  <si>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</si>
  <si>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</si>
  <si>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</si>
  <si>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</si>
  <si>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</si>
  <si>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</si>
  <si>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</si>
  <si>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</si>
  <si>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</si>
  <si>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</si>
  <si>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</si>
  <si>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</si>
  <si>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</si>
  <si>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</si>
  <si>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</si>
  <si>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</si>
  <si>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</si>
  <si>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</si>
  <si>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</si>
  <si>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</si>
  <si>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</si>
  <si>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</si>
  <si>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</si>
  <si>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</si>
  <si>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</si>
  <si>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</si>
  <si>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</si>
  <si>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</si>
  <si>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</si>
  <si>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</si>
  <si>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</si>
  <si>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</si>
  <si>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</si>
  <si>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</si>
  <si>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</si>
  <si>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</si>
  <si>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</si>
  <si>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</si>
  <si>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</si>
  <si>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</si>
  <si>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</si>
  <si>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</si>
  <si>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</si>
  <si>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</si>
  <si>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</si>
  <si>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</si>
  <si>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</si>
  <si>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</si>
  <si>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</si>
  <si>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</si>
  <si>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</si>
  <si>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</si>
  <si>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</si>
  <si>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</si>
  <si>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</si>
  <si>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</si>
  <si>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</si>
  <si>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</si>
  <si>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</si>
  <si>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</si>
  <si>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</si>
  <si>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</si>
  <si>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</si>
  <si>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</si>
  <si>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</si>
  <si>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</si>
  <si>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</si>
  <si>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</si>
  <si>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</si>
  <si>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</si>
  <si>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</si>
  <si>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</si>
  <si>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</si>
  <si>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</si>
  <si>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</si>
  <si>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</si>
  <si>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</si>
  <si>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</si>
  <si>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</si>
  <si>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</si>
  <si>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</si>
  <si>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</si>
  <si>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</si>
  <si>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</si>
  <si>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</si>
  <si>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</si>
  <si>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</si>
  <si>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</si>
  <si>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</si>
  <si>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</si>
  <si>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</si>
  <si>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</si>
  <si>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</si>
  <si>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</si>
  <si>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</si>
  <si>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</si>
  <si>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</si>
  <si>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</si>
  <si>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</si>
  <si>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</si>
  <si>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</si>
  <si>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</si>
  <si>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</si>
  <si>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</si>
  <si>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</si>
  <si>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</si>
  <si>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</si>
  <si>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</si>
  <si>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</si>
  <si>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</si>
  <si>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</si>
  <si>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</si>
  <si>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</si>
  <si>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</si>
  <si>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</si>
  <si>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</si>
  <si>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</si>
  <si>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</si>
  <si>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</si>
  <si>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</si>
  <si>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</si>
  <si>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</si>
  <si>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</si>
  <si>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</si>
  <si>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</si>
  <si>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</si>
  <si>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</si>
  <si>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</si>
  <si>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</si>
  <si>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</si>
  <si>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</si>
  <si>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</si>
  <si>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</si>
  <si>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</si>
  <si>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</si>
  <si>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</si>
  <si>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</si>
  <si>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</si>
  <si>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</si>
  <si>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</si>
  <si>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</si>
  <si>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</si>
  <si>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</si>
  <si>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</si>
  <si>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</si>
  <si>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</si>
  <si>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</si>
  <si>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</si>
  <si>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</si>
  <si>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</si>
  <si>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</si>
  <si>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</si>
  <si>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</si>
  <si>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</si>
  <si>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</si>
  <si>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</si>
  <si>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</si>
  <si>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</si>
  <si>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</si>
  <si>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</si>
  <si>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</si>
  <si>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</si>
  <si>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</si>
  <si>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</si>
  <si>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</si>
  <si>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</si>
  <si>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</si>
  <si>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</si>
  <si>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</si>
  <si>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</si>
  <si>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</si>
  <si>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</si>
  <si>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</si>
  <si>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</si>
  <si>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</si>
  <si>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</si>
  <si>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</si>
  <si>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</si>
  <si>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</si>
  <si>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</si>
  <si>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</si>
  <si>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</si>
  <si>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</si>
  <si>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</si>
  <si>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</si>
  <si>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</si>
  <si>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</si>
  <si>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</si>
  <si>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</si>
  <si>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</si>
  <si>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</si>
  <si>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</si>
  <si>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</si>
  <si>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</si>
  <si>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</si>
  <si>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</si>
  <si>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</si>
  <si>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</si>
  <si>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</si>
  <si>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</si>
  <si>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</si>
  <si>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</si>
  <si>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</si>
  <si>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</si>
  <si>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</si>
  <si>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</si>
  <si>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</si>
  <si>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</si>
  <si>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</si>
  <si>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</si>
  <si>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</si>
  <si>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</si>
  <si>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</si>
  <si>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</si>
  <si>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</si>
  <si>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</si>
  <si>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</si>
  <si>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</si>
  <si>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</si>
  <si>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</si>
  <si>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</si>
  <si>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</si>
  <si>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</si>
  <si>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</si>
  <si>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</si>
  <si>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</si>
  <si>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</si>
  <si>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</si>
  <si>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</si>
  <si>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</si>
  <si>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</si>
  <si>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</si>
  <si>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</si>
  <si>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</si>
  <si>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</si>
  <si>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</si>
  <si>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</si>
  <si>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</si>
  <si>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</si>
  <si>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</si>
  <si>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</si>
  <si>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</si>
  <si>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</si>
  <si>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</si>
  <si>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</si>
  <si>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</si>
  <si>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</si>
  <si>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</si>
  <si>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</si>
  <si>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</si>
  <si>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</si>
  <si>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</si>
  <si>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</si>
  <si>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</si>
  <si>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</si>
  <si>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</si>
  <si>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</si>
  <si>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</si>
  <si>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</si>
  <si>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</si>
  <si>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</si>
  <si>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</si>
  <si>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</si>
  <si>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</si>
  <si>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</si>
  <si>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</si>
  <si>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</si>
  <si>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</si>
  <si>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</si>
  <si>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</si>
  <si>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</si>
  <si>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</si>
  <si>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</si>
  <si>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</si>
  <si>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</si>
  <si>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</si>
  <si>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</si>
  <si>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</si>
  <si>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</si>
  <si>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</si>
  <si>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</si>
  <si>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</si>
  <si>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</si>
  <si>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</si>
  <si>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</si>
  <si>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</si>
  <si>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</si>
  <si>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</si>
  <si>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</si>
  <si>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</si>
  <si>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</si>
  <si>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</si>
  <si>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</si>
  <si>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</si>
  <si>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</si>
  <si>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</si>
  <si>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</si>
  <si>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</si>
  <si>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</si>
  <si>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</si>
  <si>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</si>
  <si>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</si>
  <si>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</si>
  <si>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</si>
  <si>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</si>
  <si>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</si>
  <si>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</si>
  <si>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</si>
  <si>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</si>
  <si>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</si>
  <si>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</si>
  <si>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</si>
  <si>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</si>
  <si>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</si>
  <si>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</si>
  <si>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</si>
  <si>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</si>
  <si>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</si>
  <si>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</si>
  <si>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</si>
  <si>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</si>
  <si>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</si>
  <si>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</si>
  <si>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</si>
  <si>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</si>
  <si>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</si>
  <si>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</si>
  <si>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</si>
  <si>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</si>
  <si>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</si>
  <si>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</si>
  <si>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</si>
  <si>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</si>
  <si>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</si>
  <si>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</si>
  <si>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</si>
  <si>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</si>
  <si>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</si>
  <si>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</si>
  <si>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</si>
  <si>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</si>
  <si>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</si>
  <si>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</si>
  <si>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</si>
  <si>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</si>
  <si>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</si>
  <si>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</si>
  <si>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</si>
  <si>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</si>
  <si>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</si>
  <si>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</si>
  <si>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</si>
  <si>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</si>
  <si>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</si>
  <si>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</si>
  <si>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</si>
  <si>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</si>
  <si>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</si>
  <si>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</si>
  <si>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</si>
  <si>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</si>
  <si>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</si>
  <si>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</si>
  <si>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</si>
  <si>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</si>
  <si>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</si>
  <si>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</si>
  <si>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</si>
  <si>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</si>
  <si>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</si>
  <si>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</si>
  <si>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</si>
  <si>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</si>
  <si>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</si>
  <si>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</si>
  <si>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</si>
  <si>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</si>
  <si>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</si>
  <si>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</si>
  <si>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</si>
  <si>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</si>
  <si>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</si>
  <si>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</si>
  <si>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</si>
  <si>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</si>
  <si>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</si>
  <si>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</si>
  <si>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</si>
  <si>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</si>
  <si>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</si>
  <si>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</si>
  <si>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</si>
  <si>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</si>
  <si>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</si>
  <si>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</si>
  <si>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</si>
  <si>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</si>
  <si>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</si>
  <si>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</si>
  <si>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</si>
  <si>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</si>
  <si>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</si>
  <si>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</si>
  <si>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</si>
  <si>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</si>
  <si>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</si>
  <si>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</si>
  <si>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</si>
  <si>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</si>
  <si>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</si>
  <si>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</si>
  <si>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</si>
  <si>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</si>
  <si>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</si>
  <si>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</si>
  <si>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</si>
  <si>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</si>
  <si>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</si>
  <si>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</si>
  <si>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</si>
  <si>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</si>
  <si>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</si>
  <si>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</si>
  <si>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</si>
  <si>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</si>
  <si>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</si>
  <si>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</si>
  <si>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</si>
  <si>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</si>
  <si>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</si>
  <si>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</si>
  <si>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</si>
  <si>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</si>
  <si>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</si>
  <si>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</si>
  <si>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</si>
  <si>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</si>
  <si>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</si>
  <si>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</si>
  <si>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</si>
  <si>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</si>
  <si>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</si>
  <si>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</si>
  <si>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</si>
  <si>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</si>
  <si>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</si>
  <si>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</si>
  <si>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</si>
  <si>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</si>
  <si>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</si>
  <si>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</si>
  <si>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</si>
  <si>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</si>
  <si>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</si>
  <si>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</si>
  <si>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</si>
  <si>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</si>
  <si>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</si>
  <si>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</si>
  <si>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</si>
  <si>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</si>
  <si>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</si>
  <si>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</si>
  <si>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</si>
  <si>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</si>
  <si>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</si>
  <si>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</si>
  <si>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</si>
  <si>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</si>
  <si>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</si>
  <si>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</si>
  <si>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</si>
  <si>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</si>
  <si>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</si>
  <si>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</si>
  <si>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</si>
  <si>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</si>
  <si>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</si>
  <si>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</si>
  <si>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</si>
  <si>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</si>
  <si>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</si>
  <si>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</si>
  <si>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</si>
  <si>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</si>
  <si>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</si>
  <si>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</si>
  <si>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</si>
  <si>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</si>
  <si>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</si>
  <si>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</si>
  <si>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</si>
  <si>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</si>
  <si>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</si>
  <si>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</si>
  <si>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</si>
  <si>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</si>
  <si>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</si>
  <si>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</si>
  <si>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</si>
  <si>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</si>
  <si>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</si>
  <si>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</si>
  <si>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</si>
  <si>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</si>
  <si>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</si>
  <si>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</si>
  <si>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</si>
  <si>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</si>
  <si>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</si>
  <si>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</si>
  <si>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</si>
  <si>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</si>
  <si>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</si>
  <si>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</si>
  <si>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</si>
  <si>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</si>
  <si>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</si>
  <si>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</si>
  <si>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</si>
  <si>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</si>
  <si>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</si>
  <si>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</si>
  <si>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</si>
  <si>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</si>
  <si>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</si>
  <si>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</si>
  <si>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</si>
  <si>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</si>
  <si>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</si>
  <si>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</si>
  <si>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</si>
  <si>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</si>
  <si>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</si>
  <si>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</si>
  <si>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</si>
  <si>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</si>
  <si>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</si>
  <si>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</si>
  <si>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</si>
  <si>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</si>
  <si>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</si>
  <si>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</si>
  <si>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</si>
  <si>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</si>
  <si>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</si>
  <si>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</si>
  <si>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</si>
  <si>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</si>
  <si>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</si>
  <si>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</si>
  <si>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</si>
  <si>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</si>
  <si>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</si>
  <si>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</si>
  <si>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</si>
  <si>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</si>
  <si>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</si>
  <si>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</si>
  <si>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</si>
  <si>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</si>
  <si>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</si>
  <si>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</si>
  <si>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</si>
  <si>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</si>
  <si>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</si>
  <si>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</si>
  <si>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</si>
  <si>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</si>
  <si>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</si>
  <si>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</si>
  <si>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</si>
  <si>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</si>
  <si>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</si>
  <si>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</si>
  <si>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</si>
  <si>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</si>
  <si>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</si>
  <si>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</si>
  <si>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</si>
  <si>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</si>
  <si>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</si>
  <si>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</si>
  <si>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</si>
  <si>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</si>
  <si>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</si>
  <si>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</si>
  <si>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</si>
  <si>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</si>
  <si>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</si>
  <si>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</si>
  <si>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</si>
  <si>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</si>
  <si>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</si>
  <si>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</si>
  <si>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</si>
  <si>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</si>
  <si>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</si>
  <si>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</si>
  <si>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</si>
  <si>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</si>
  <si>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</si>
  <si>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</si>
  <si>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</si>
  <si>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</si>
  <si>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</si>
  <si>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</si>
  <si>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</si>
  <si>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</si>
  <si>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</si>
  <si>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</si>
  <si>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</si>
  <si>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</si>
  <si>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</si>
  <si>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</si>
  <si>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</si>
  <si>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</si>
  <si>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</si>
  <si>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</si>
  <si>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</si>
  <si>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</si>
  <si>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</si>
  <si>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</si>
  <si>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</si>
  <si>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</si>
  <si>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</si>
  <si>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</si>
  <si>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</si>
  <si>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</si>
  <si>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</si>
  <si>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</si>
  <si>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</si>
  <si>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</si>
  <si>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</si>
  <si>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</si>
  <si>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</si>
  <si>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</si>
  <si>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</si>
  <si>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</si>
  <si>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</si>
  <si>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</si>
  <si>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</si>
  <si>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</si>
  <si>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</si>
  <si>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</si>
  <si>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</si>
  <si>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</si>
  <si>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</si>
  <si>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</si>
  <si>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</si>
  <si>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</si>
  <si>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</si>
  <si>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</si>
  <si>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</si>
  <si>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</si>
  <si>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</si>
  <si>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</si>
  <si>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</si>
  <si>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</si>
  <si>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</si>
  <si>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</si>
  <si>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</si>
  <si>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</si>
  <si>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</si>
  <si>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</si>
  <si>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</si>
  <si>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</si>
  <si>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</si>
  <si>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</si>
  <si>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</si>
  <si>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</si>
  <si>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</si>
  <si>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</si>
  <si>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</si>
  <si>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</si>
  <si>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</si>
  <si>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</si>
  <si>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</si>
  <si>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</si>
  <si>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</si>
  <si>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</si>
  <si>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</si>
  <si>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</si>
  <si>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</si>
  <si>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</si>
  <si>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</si>
  <si>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</si>
  <si>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</si>
  <si>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</si>
  <si>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</si>
  <si>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</si>
  <si>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</si>
  <si>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</si>
  <si>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</si>
  <si>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</si>
  <si>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</si>
  <si>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</si>
  <si>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</si>
  <si>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</si>
  <si>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</si>
  <si>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</si>
  <si>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</si>
  <si>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</si>
  <si>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</si>
  <si>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</si>
  <si>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</si>
  <si>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</si>
  <si>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</si>
  <si>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</si>
  <si>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</si>
  <si>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</si>
  <si>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</si>
  <si>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</si>
  <si>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</si>
  <si>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</si>
  <si>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</si>
  <si>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</si>
  <si>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</si>
  <si>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</si>
  <si>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</si>
  <si>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</si>
  <si>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</si>
  <si>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</si>
  <si>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</si>
  <si>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</si>
  <si>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</si>
  <si>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</si>
  <si>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</si>
  <si>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</si>
  <si>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</si>
  <si>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</si>
  <si>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</si>
  <si>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</si>
  <si>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</si>
  <si>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</si>
  <si>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</si>
  <si>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</si>
  <si>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</si>
  <si>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</si>
  <si>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</si>
  <si>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</si>
  <si>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</si>
  <si>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</si>
  <si>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</si>
  <si>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</si>
  <si>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</si>
  <si>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</si>
  <si>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</si>
  <si>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</si>
  <si>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</si>
  <si>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</si>
  <si>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</si>
  <si>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</si>
  <si>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</si>
  <si>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</si>
  <si>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</si>
  <si>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</si>
  <si>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</si>
  <si>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</si>
  <si>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</si>
  <si>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</si>
  <si>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</si>
  <si>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</si>
  <si>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</si>
  <si>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</si>
  <si>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</si>
  <si>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</si>
  <si>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</si>
  <si>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</si>
  <si>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</si>
  <si>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</si>
  <si>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</si>
  <si>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</si>
  <si>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</si>
  <si>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</si>
  <si>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</si>
  <si>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</si>
  <si>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</si>
  <si>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</si>
  <si>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</si>
  <si>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</si>
  <si>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</si>
  <si>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</si>
  <si>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</si>
  <si>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</si>
  <si>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</si>
  <si>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</si>
  <si>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</si>
  <si>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</si>
  <si>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</si>
  <si>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</si>
  <si>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</si>
  <si>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</si>
  <si>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</si>
  <si>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</si>
  <si>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</si>
  <si>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</si>
  <si>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</si>
  <si>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</si>
  <si>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</si>
  <si>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</si>
  <si>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</si>
  <si>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</si>
  <si>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</si>
  <si>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</si>
  <si>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</si>
  <si>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</si>
  <si>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</si>
  <si>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</si>
  <si>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</si>
  <si>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</si>
  <si>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</si>
  <si>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</si>
  <si>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</si>
  <si>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</si>
  <si>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</si>
  <si>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</si>
  <si>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</si>
  <si>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</si>
  <si>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</si>
  <si>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</si>
  <si>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</si>
  <si>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</si>
  <si>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</si>
  <si>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</si>
  <si>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</si>
  <si>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</si>
  <si>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</si>
  <si>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</si>
  <si>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</si>
  <si>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</si>
  <si>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</si>
  <si>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</si>
  <si>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</si>
  <si>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</si>
  <si>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</si>
  <si>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</si>
  <si>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</si>
  <si>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</si>
  <si>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</si>
  <si>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</si>
  <si>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</si>
  <si>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</si>
  <si>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</si>
  <si>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</si>
  <si>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</si>
  <si>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</si>
  <si>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</si>
  <si>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</si>
  <si>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</si>
  <si>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</si>
  <si>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</si>
  <si>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</si>
  <si>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</si>
  <si>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</si>
  <si>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</si>
  <si>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</si>
  <si>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</si>
  <si>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</si>
  <si>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</si>
  <si>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</si>
  <si>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</si>
  <si>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</si>
  <si>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</si>
  <si>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</si>
  <si>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</si>
  <si>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</si>
  <si>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</si>
  <si>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</si>
  <si>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</si>
  <si>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</si>
  <si>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</si>
  <si>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</si>
  <si>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</si>
  <si>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</si>
  <si>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</si>
  <si>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</si>
  <si>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</si>
  <si>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</si>
  <si>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</si>
  <si>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</si>
  <si>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</si>
  <si>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</si>
  <si>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</si>
  <si>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</si>
  <si>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</si>
  <si>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</si>
  <si>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</si>
  <si>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</si>
  <si>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</si>
  <si>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</si>
  <si>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</si>
  <si>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</si>
  <si>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</si>
  <si>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</si>
  <si>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</si>
  <si>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</si>
  <si>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</si>
  <si>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</si>
  <si>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</si>
  <si>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</si>
  <si>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</si>
  <si>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</si>
  <si>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</si>
  <si>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</si>
  <si>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</si>
  <si>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</si>
  <si>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</si>
  <si>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</si>
  <si>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</si>
  <si>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</si>
  <si>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</si>
  <si>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</si>
  <si>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</si>
  <si>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</si>
  <si>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</si>
  <si>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</si>
  <si>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</si>
  <si>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</si>
  <si>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</si>
  <si>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</si>
  <si>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</si>
  <si>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</si>
  <si>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</si>
  <si>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</si>
  <si>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</si>
  <si>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</si>
  <si>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</si>
  <si>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</si>
  <si>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</si>
  <si>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</si>
  <si>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</si>
  <si>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</si>
  <si>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</si>
  <si>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</si>
  <si>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</si>
  <si>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</si>
  <si>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</si>
  <si>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</si>
  <si>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</si>
  <si>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</si>
  <si>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</si>
  <si>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</si>
  <si>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</si>
  <si>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</si>
  <si>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</si>
  <si>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</si>
  <si>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</si>
  <si>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</si>
  <si>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</si>
  <si>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</si>
  <si>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</si>
  <si>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</si>
  <si>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</si>
  <si>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</si>
  <si>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</si>
  <si>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</si>
  <si>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</si>
  <si>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</si>
  <si>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</si>
  <si>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</si>
  <si>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</si>
  <si>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</si>
  <si>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</si>
  <si>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</si>
  <si>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</si>
  <si>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</si>
  <si>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</si>
  <si>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</si>
  <si>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</si>
  <si>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</si>
  <si>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</si>
  <si>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</si>
  <si>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</si>
  <si>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</si>
  <si>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</si>
  <si>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</si>
  <si>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</si>
  <si>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</si>
  <si>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</si>
  <si>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</si>
  <si>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</si>
  <si>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</si>
  <si>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</si>
  <si>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</si>
  <si>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</si>
  <si>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</si>
  <si>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</si>
  <si>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</si>
  <si>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</si>
  <si>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</si>
  <si>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</si>
  <si>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</si>
  <si>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</si>
  <si>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</si>
  <si>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</si>
  <si>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</si>
  <si>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</si>
  <si>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</si>
  <si>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</si>
  <si>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</si>
  <si>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</si>
  <si>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</si>
  <si>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</si>
  <si>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</si>
  <si>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</si>
  <si>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</si>
  <si>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</si>
  <si>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</si>
  <si>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</si>
  <si>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</si>
  <si>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</si>
  <si>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</si>
  <si>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</si>
  <si>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</si>
  <si>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</si>
  <si>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</si>
  <si>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</si>
  <si>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</si>
  <si>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</si>
  <si>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</si>
  <si>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</si>
  <si>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</si>
  <si>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</si>
  <si>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</si>
  <si>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</si>
  <si>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</si>
  <si>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</si>
  <si>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</si>
  <si>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</si>
  <si>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</si>
  <si>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</si>
  <si>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</si>
  <si>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</si>
  <si>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</si>
  <si>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</si>
  <si>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</si>
  <si>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</si>
  <si>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</si>
  <si>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</si>
  <si>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</si>
  <si>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</si>
  <si>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</si>
  <si>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</si>
  <si>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</si>
  <si>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</si>
  <si>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</si>
  <si>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</si>
  <si>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</si>
  <si>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</si>
  <si>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</si>
  <si>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</si>
  <si>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</si>
  <si>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</si>
  <si>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</si>
  <si>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</si>
  <si>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</si>
  <si>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</si>
  <si>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</si>
  <si>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</si>
  <si>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</si>
  <si>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</si>
  <si>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</si>
  <si>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</si>
  <si>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</si>
  <si>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</si>
  <si>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</si>
  <si>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</si>
  <si>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</si>
  <si>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</si>
  <si>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</si>
  <si>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</si>
  <si>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</si>
  <si>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</si>
  <si>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</si>
  <si>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</si>
  <si>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</si>
  <si>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</si>
  <si>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</si>
  <si>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</si>
  <si>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</si>
  <si>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</si>
  <si>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</si>
  <si>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</si>
  <si>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</si>
  <si>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</si>
  <si>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</si>
  <si>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</si>
  <si>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</si>
  <si>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</si>
  <si>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</si>
  <si>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</si>
  <si>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</si>
  <si>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</si>
  <si>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</si>
  <si>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</si>
  <si>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</si>
  <si>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</si>
  <si>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</si>
  <si>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</si>
  <si>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</si>
  <si>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</si>
  <si>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</si>
  <si>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</si>
  <si>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</si>
  <si>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</si>
  <si>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</si>
  <si>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</si>
  <si>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</si>
  <si>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</si>
  <si>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</si>
  <si>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</si>
  <si>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</si>
  <si>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</si>
  <si>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</si>
  <si>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</si>
  <si>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Row Labels</t>
  </si>
  <si>
    <t>Grand Total</t>
  </si>
  <si>
    <t>Average_Work_Life_Balance</t>
  </si>
  <si>
    <t>Average_Job_Involvement</t>
  </si>
  <si>
    <t>Average_Environment_Satisfaction</t>
  </si>
  <si>
    <t>Average_Performance_Rating</t>
  </si>
  <si>
    <t>Average_YearsAtCompany</t>
  </si>
  <si>
    <t>Employee_Count</t>
  </si>
  <si>
    <t>Attrition_Count</t>
  </si>
  <si>
    <t>Attrition_Rate(%)</t>
  </si>
  <si>
    <t>Overtime_Rate(%)</t>
  </si>
  <si>
    <t xml:space="preserve"> </t>
  </si>
  <si>
    <t>HR Attrition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</si>
</sst>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20"/>
      <color theme="0"/>
      <name val="Amasis MT Pro"/>
      <family val="1"/>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4" fontId="0" fillId="0" borderId="0" xfId="0" applyNumberFormat="1"/>
    <xf numFmtId="1" fontId="0" fillId="0" borderId="0" xfId="0" applyNumberFormat="1"/>
    <xf numFmtId="0" fontId="1" fillId="2" borderId="0" xfId="0" applyFont="1" applyFill="1" applyAlignment="1">
      <alignment horizontal="left"/>
    </xf>
  </cellXfs>
  <cellStyles count="1">
    <cellStyle name="Normal" xfId="0" builtinId="0"/>
  </cellStyles>
  <dxfs count="49">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microsoft.com/office/2007/relationships/slicerCache" Target="slicerCaches/slicerCache2.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tyles" Target="styles.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ustomXml" Target="../customXml/item6.xml"/><Relationship Id="rId11" Type="http://schemas.openxmlformats.org/officeDocument/2006/relationships/worksheet" Target="worksheets/sheet1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powerPivotData" Target="model/item.data"/><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haredStrings" Target="sharedStrings.xml"/><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connections" Target="connections.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[hr_attrition_cleaned_data.xlsx]Pivot_Dept_Attrition!PivotTable1</c:name>
    <c:fmtId val="1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a:latin typeface="+mn-lt"/>
              </a:rPr>
              <a:t>Attrition</a:t>
            </a:r>
            <a:r>
              <a:rPr lang="en-US" sz="1400" b="1" baseline="0">
                <a:latin typeface="+mn-lt"/>
              </a:rPr>
              <a:t> By Department</a:t>
            </a:r>
            <a:endParaRPr lang="en-US" sz="1400" b="1">
              <a:latin typeface="+mn-lt"/>
            </a:endParaRPr>
          </a:p>
        </c:rich>
      </c:tx>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ymbol val="circle"/>
          <c:size val="6"/>
          <c:spPr>
            <a:solidFill>
              <a:schemeClr val="accent6">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Pivot_Dept_Attrition!$B$3</c:f>
              <c:strCache>
                <c:ptCount val="1"/>
                <c:pt idx="0">
                  <c:v>Total</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Pivot_Dept_Attrition!$A$4:$A$11</c:f>
              <c:strCache>
                <c:ptCount val="7"/>
                <c:pt idx="0">
                  <c:v>Customer Success</c:v>
                </c:pt>
                <c:pt idx="1">
                  <c:v>Engineering</c:v>
                </c:pt>
                <c:pt idx="2">
                  <c:v>Finance</c:v>
                </c:pt>
                <c:pt idx="3">
                  <c:v>HR</c:v>
                </c:pt>
                <c:pt idx="4">
                  <c:v>Marketing</c:v>
                </c:pt>
                <c:pt idx="5">
                  <c:v>Operations</c:v>
                </c:pt>
                <c:pt idx="6">
                  <c:v>Sales</c:v>
                </c:pt>
              </c:strCache>
            </c:strRef>
          </c:cat>
          <c:val>
            <c:numRef>
              <c:f>Pivot_Dept_Attrition!$B$4:$B$11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CD12-4E49-9855-E244977F52EA}"/>
            </c:ext>
          </c:extLst>
        </c:ser>
        <c:dLbls>
          <c:showLegendKey val="0"/>
          <c:showVal val="0"/>
          <c:showCatName val="0"/>
          <c:showSerName val="0"/>
          <c:showPercent val="0"/>
          <c:showBubbleSize val="0"/>
        </c:dLbls>
        <c:gapWidth val="80"/>
        <c:overlap val="25"/>
        <c:axId val="1541492064"/>
        <c:axId val="1541493024"/>
      </c:barChart>
      <c:catAx>
        <c:axId val="15414920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solidFill>
                      <a:schemeClr val="tx1">
                        <a:lumMod val="65000"/>
                        <a:lumOff val="35000"/>
                      </a:schemeClr>
                    </a:solidFill>
                    <a:latin typeface="+mn-lt"/>
                  </a:rPr>
                  <a:t>department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41493024"/>
        <c:crosses val="autoZero"/>
        <c:auto val="1"/>
        <c:lblAlgn val="ctr"/>
        <c:lblOffset val="100"/>
        <c:noMultiLvlLbl val="0"/>
      </c:catAx>
      <c:valAx>
        <c:axId val="1541493024"/>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800" b="1" i="0" u="none" strike="noStrike" kern="1200" cap="all" baseline="0">
                    <a:solidFill>
                      <a:schemeClr val="tx1">
                        <a:lumMod val="65000"/>
                        <a:lumOff val="35000"/>
                      </a:schemeClr>
                    </a:solidFill>
                    <a:latin typeface="+mn-lt"/>
                    <a:ea typeface="+mn-ea"/>
                    <a:cs typeface="+mn-cs"/>
                  </a:defRPr>
                </a:pPr>
                <a:r>
                  <a:rPr lang="en-US" sz="800" b="1">
                    <a:solidFill>
                      <a:schemeClr val="tx1">
                        <a:lumMod val="65000"/>
                        <a:lumOff val="35000"/>
                      </a:schemeClr>
                    </a:solidFill>
                    <a:latin typeface="+mn-lt"/>
                  </a:rPr>
                  <a:t>ATTRITION</a:t>
                </a:r>
                <a:r>
                  <a:rPr lang="en-US" sz="800" b="1" baseline="0">
                    <a:solidFill>
                      <a:schemeClr val="tx1">
                        <a:lumMod val="65000"/>
                        <a:lumOff val="35000"/>
                      </a:schemeClr>
                    </a:solidFill>
                    <a:latin typeface="+mn-lt"/>
                  </a:rPr>
                  <a:t> COUNT</a:t>
                </a:r>
                <a:endParaRPr lang="en-US" sz="800" b="1">
                  <a:solidFill>
                    <a:schemeClr val="tx1">
                      <a:lumMod val="65000"/>
                      <a:lumOff val="35000"/>
                    </a:schemeClr>
                  </a:solidFill>
                  <a:latin typeface="+mn-lt"/>
                </a:endParaRPr>
              </a:p>
            </c:rich>
          </c:tx>
          <c:overlay val="0"/>
          <c:spPr>
            <a:noFill/>
            <a:ln>
              <a:noFill/>
            </a:ln>
            <a:effectLst/>
          </c:spPr>
          <c:txPr>
            <a:bodyPr rot="-5400000" spcFirstLastPara="1" vertOverflow="ellipsis" vert="horz" wrap="square" anchor="ctr" anchorCtr="1"/>
            <a:lstStyle/>
            <a:p>
              <a:pPr>
                <a:defRPr sz="8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41492064"/>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6">
          <a:lumMod val="60000"/>
          <a:lumOff val="40000"/>
        </a:schemeClr>
      </a:solidFill>
      <a:round/>
    </a:ln>
    <a:effectLst>
      <a:glow rad="63500">
        <a:schemeClr val="accent6">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[hr_attrition_cleaned_data.xlsx]Pivot_Dept_OT_Rate!PivotTable11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Rate Metrics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ymbol val="circle"/>
          <c:size val="5"/>
          <c:spPr>
            <a:solidFill>
              <a:schemeClr val="accent6">
                <a:tint val="65000"/>
              </a:schemeClr>
            </a:solidFill>
            <a:ln w="9525">
              <a:solidFill>
                <a:schemeClr val="accent6">
                  <a:tint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40000"/>
              <a:lumOff val="60000"/>
            </a:schemeClr>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a:sp3d/>
        </c:spPr>
        <c:marker>
          <c:symbol val="circle"/>
          <c:size val="5"/>
          <c:spPr>
            <a:solidFill>
              <a:schemeClr val="accent6">
                <a:shade val="65000"/>
              </a:schemeClr>
            </a:solidFill>
            <a:ln w="9525">
              <a:solidFill>
                <a:schemeClr val="accent6">
                  <a:shade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Pivot_Dept_OT_Rate!$B$3</c:f>
              <c:strCache>
                <c:ptCount val="1"/>
                <c:pt idx="0">
                  <c:v>Attrition_Count</c:v>
                </c:pt>
              </c:strCache>
            </c:strRef>
          </c:tx>
          <c:spPr>
            <a:solidFill>
              <a:schemeClr val="accent6">
                <a:lumMod val="60000"/>
                <a:lumOff val="40000"/>
              </a:schemeClr>
            </a:solidFill>
            <a:ln>
              <a:noFill/>
            </a:ln>
            <a:effectLst/>
            <a:sp3d/>
          </c:spPr>
          <c:invertIfNegative val="0"/>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Pivot_Dept_OT_Rate!$B$4:$B$11</c:f>
              <c:numCache>
                <c:formatCode>0</c:formatCode>
                <c:ptCount val="7"/>
                <c:pt idx="2">
                  <c:v>1</c:v>
                </c:pt>
                <c:pt idx="3">
                  <c:v>1</c:v>
                </c:pt>
                <c:pt idx="4">
                  <c:v>1</c:v>
                </c:pt>
              </c:numCache>
            </c:numRef>
          </c:val>
          <c:extLst>
            <c:ext xmlns:c16="http://schemas.microsoft.com/office/drawing/2014/chart" uri="{C3380CC4-5D6E-409C-BE32-E72D297353CC}">
              <c16:uniqueId val="{00000000-4CBA-4326-B0C0-2DB6DA3898DE}"/>
            </c:ext>
          </c:extLst>
        </c:ser>
        <c:ser>
          <c:idx val="1"/>
          <c:order val="1"/>
          <c:tx>
            <c:strRef>
              <c:f>Pivot_Dept_OT_Rate!$C$3</c:f>
              <c:strCache>
                <c:ptCount val="1"/>
                <c:pt idx="0">
                  <c:v>Attrition_Rate(%)</c:v>
                </c:pt>
              </c:strCache>
            </c:strRef>
          </c:tx>
          <c:spPr>
            <a:solidFill>
              <a:schemeClr val="accent4">
                <a:lumMod val="40000"/>
                <a:lumOff val="60000"/>
              </a:schemeClr>
            </a:solidFill>
            <a:ln>
              <a:noFill/>
            </a:ln>
            <a:effectLst/>
            <a:sp3d/>
          </c:spPr>
          <c:invertIfNegative val="0"/>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Pivot_Dept_OT_Rate!$C$4:$C$11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1-4CBA-4326-B0C0-2DB6DA3898DE}"/>
            </c:ext>
          </c:extLst>
        </c:ser>
        <c:ser>
          <c:idx val="2"/>
          <c:order val="2"/>
          <c:tx>
            <c:strRef>
              <c:f>Pivot_Dept_OT_Rate!$D$3</c:f>
              <c:strCache>
                <c:ptCount val="1"/>
                <c:pt idx="0">
                  <c:v>Overtime_Rate(%)</c:v>
                </c:pt>
              </c:strCache>
            </c:strRef>
          </c:tx>
          <c:spPr>
            <a:solidFill>
              <a:schemeClr val="accent6"/>
            </a:solidFill>
            <a:ln>
              <a:noFill/>
            </a:ln>
            <a:effectLst/>
            <a:sp3d/>
          </c:spPr>
          <c:invertIfNegative val="0"/>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Pivot_Dept_OT_Rate!$D$4:$D$11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2-4CBA-4326-B0C0-2DB6DA3898DE}"/>
            </c:ext>
          </c:extLst>
        </c:ser>
        <c:dLbls>
          <c:showLegendKey val="0"/>
          <c:showVal val="0"/>
          <c:showCatName val="0"/>
          <c:showSerName val="0"/>
          <c:showPercent val="0"/>
          <c:showBubbleSize val="0"/>
        </c:dLbls>
        <c:gapWidth val="150"/>
        <c:shape val="box"/>
        <c:axId val="1605973104"/>
        <c:axId val="1605975024"/>
        <c:axId val="0"/>
      </c:bar3D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chemeClr val="accent6">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[hr_attrition_cleaned_data.xlsx]Pivot_Gender_Attrition!PivotTable2</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 By Gender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6"/>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tint val="65000"/>
            </a:schemeClr>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6">
              <a:shade val="65000"/>
            </a:schemeClr>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933459021847622"/>
          <c:y val="0.16797082219626477"/>
          <c:w val="0.6060256552437987"/>
          <c:h val="0.82714771689916688"/>
        </c:manualLayout>
      </c:layout>
      <c:pie3DChart>
        <c:varyColors val="1"/>
        <c:ser>
          <c:idx val="0"/>
          <c:order val="0"/>
          <c:tx>
            <c:strRef>
              <c:f>Pivot_Gender_Attrition!$B$3</c:f>
              <c:strCache>
                <c:ptCount val="1"/>
                <c:pt idx="0">
                  <c:v>Total</c:v>
                </c:pt>
              </c:strCache>
            </c:strRef>
          </c:tx>
          <c:dPt>
            <c:idx val="0"/>
            <c:bubble3D val="0"/>
            <c:spPr>
              <a:solidFill>
                <a:schemeClr val="accent6">
                  <a:tint val="6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2CAA-4D29-9063-9CBDABA609C6}"/>
              </c:ext>
            </c:extLst>
          </c:dPt>
          <c:dPt>
            <c:idx val="1"/>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3-2CAA-4D29-9063-9CBDABA609C6}"/>
              </c:ext>
            </c:extLst>
          </c:dPt>
          <c:dPt>
            <c:idx val="2"/>
            <c:bubble3D val="0"/>
            <c:spPr>
              <a:solidFill>
                <a:schemeClr val="accent6">
                  <a:shade val="6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5-2CAA-4D29-9063-9CBDABA609C6}"/>
              </c:ext>
            </c:extLst>
          </c:dPt>
          <c:dLbls>
            <c:dLbl>
              <c:idx val="0"/>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CAA-4D29-9063-9CBDABA609C6}"/>
                </c:ext>
              </c:extLst>
            </c:dLbl>
            <c:dLbl>
              <c:idx val="1"/>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CAA-4D29-9063-9CBDABA609C6}"/>
                </c:ext>
              </c:extLst>
            </c:dLbl>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CAA-4D29-9063-9CBDABA609C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Pivot_Gender_Attrition!$A$4:$A$7</c:f>
              <c:strCache>
                <c:ptCount val="3"/>
                <c:pt idx="0">
                  <c:v>Female</c:v>
                </c:pt>
                <c:pt idx="1">
                  <c:v>Male</c:v>
                </c:pt>
                <c:pt idx="2">
                  <c:v>Other</c:v>
                </c:pt>
              </c:strCache>
            </c:strRef>
          </c:cat>
          <c:val>
            <c:numRef>
              <c:f>Pivot_Gender_Attrition!$B$4:$B$7</c:f>
              <c:numCache>
                <c:formatCode>General</c:formatCode>
                <c:ptCount val="3"/>
                <c:pt idx="0">
                  <c:v>26</c:v>
                </c:pt>
                <c:pt idx="1">
                  <c:v>32</c:v>
                </c:pt>
                <c:pt idx="2">
                  <c:v>2</c:v>
                </c:pt>
              </c:numCache>
            </c:numRef>
          </c:val>
          <c:extLst>
            <c:ext xmlns:c16="http://schemas.microsoft.com/office/drawing/2014/chart" uri="{C3380CC4-5D6E-409C-BE32-E72D297353CC}">
              <c16:uniqueId val="{00000006-2CAA-4D29-9063-9CBDABA609C6}"/>
            </c:ext>
          </c:extLst>
        </c:ser>
        <c:dLbls>
          <c:dLblPos val="bestFit"/>
          <c:showLegendKey val="0"/>
          <c:showVal val="1"/>
          <c:showCatName val="0"/>
          <c:showSerName val="0"/>
          <c:showPercent val="0"/>
          <c:showBubbleSize val="0"/>
          <c:showLeaderLines val="1"/>
        </c:dLbls>
      </c:pie3DChart>
      <c:spPr>
        <a:noFill/>
        <a:ln>
          <a:noFill/>
        </a:ln>
        <a:effectLst/>
      </c:spPr>
    </c:plotArea>
    <c:legend>
      <c:legendPos val="t"/>
      <c:legendEntry>
        <c:idx val="2"/>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chemeClr val="accent6">
          <a:satMod val="175000"/>
          <a:alpha val="40000"/>
        </a:schemeClr>
      </a:glow>
      <a:outerShdw blurRad="50800" dist="50800" dir="4800000" algn="ctr" rotWithShape="0">
        <a:srgbClr val="000000">
          <a:alpha val="43137"/>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[hr_attrition_cleaned_data.xlsx]Pivot_Satisfaction!PivotTable9</c:name>
    <c:fmtId val="6"/>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solidFill>
                  <a:schemeClr val="tx1">
                    <a:lumMod val="65000"/>
                    <a:lumOff val="35000"/>
                  </a:schemeClr>
                </a:solidFill>
              </a:rPr>
              <a:t>Average Satisfaction Metrics By Department </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w="9525">
              <a:solidFill>
                <a:schemeClr val="accent6">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w="9525">
              <a:solidFill>
                <a:schemeClr val="accent6">
                  <a:shade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Pivot_Satisfaction!$B$3</c:f>
              <c:strCache>
                <c:ptCount val="1"/>
                <c:pt idx="0">
                  <c:v>Average_Work_Life_Balance</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Pivot_Satisfaction!$A$4:$A$11</c:f>
              <c:strCache>
                <c:ptCount val="7"/>
                <c:pt idx="0">
                  <c:v>Customer Success</c:v>
                </c:pt>
                <c:pt idx="1">
                  <c:v>Engineering</c:v>
                </c:pt>
                <c:pt idx="2">
                  <c:v>Finance</c:v>
                </c:pt>
                <c:pt idx="3">
                  <c:v>HR</c:v>
                </c:pt>
                <c:pt idx="4">
                  <c:v>Marketing</c:v>
                </c:pt>
                <c:pt idx="5">
                  <c:v>Operations</c:v>
                </c:pt>
                <c:pt idx="6">
                  <c:v>Sales</c:v>
                </c:pt>
              </c:strCache>
            </c:strRef>
          </c:cat>
          <c:val>
            <c:numRef>
              <c:f>Pivot_Satisfaction!$B$4:$B$11</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4-BBEC-427D-A9B2-B49FA3796579}"/>
            </c:ext>
          </c:extLst>
        </c:ser>
        <c:ser>
          <c:idx val="1"/>
          <c:order val="1"/>
          <c:tx>
            <c:strRef>
              <c:f>Pivot_Satisfaction!$C$3</c:f>
              <c:strCache>
                <c:ptCount val="1"/>
                <c:pt idx="0">
                  <c:v>Average_Job_Involvement</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Pivot_Satisfaction!$A$4:$A$11</c:f>
              <c:strCache>
                <c:ptCount val="7"/>
                <c:pt idx="0">
                  <c:v>Customer Success</c:v>
                </c:pt>
                <c:pt idx="1">
                  <c:v>Engineering</c:v>
                </c:pt>
                <c:pt idx="2">
                  <c:v>Finance</c:v>
                </c:pt>
                <c:pt idx="3">
                  <c:v>HR</c:v>
                </c:pt>
                <c:pt idx="4">
                  <c:v>Marketing</c:v>
                </c:pt>
                <c:pt idx="5">
                  <c:v>Operations</c:v>
                </c:pt>
                <c:pt idx="6">
                  <c:v>Sales</c:v>
                </c:pt>
              </c:strCache>
            </c:strRef>
          </c:cat>
          <c:val>
            <c:numRef>
              <c:f>Pivot_Satisfaction!$C$4:$C$11</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6-BBEC-427D-A9B2-B49FA3796579}"/>
            </c:ext>
          </c:extLst>
        </c:ser>
        <c:ser>
          <c:idx val="2"/>
          <c:order val="2"/>
          <c:tx>
            <c:strRef>
              <c:f>Pivot_Satisfaction!$D$3</c:f>
              <c:strCache>
                <c:ptCount val="1"/>
                <c:pt idx="0">
                  <c:v>Average_Environment_Satisfaction</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Pivot_Satisfaction!$A$4:$A$11</c:f>
              <c:strCache>
                <c:ptCount val="7"/>
                <c:pt idx="0">
                  <c:v>Customer Success</c:v>
                </c:pt>
                <c:pt idx="1">
                  <c:v>Engineering</c:v>
                </c:pt>
                <c:pt idx="2">
                  <c:v>Finance</c:v>
                </c:pt>
                <c:pt idx="3">
                  <c:v>HR</c:v>
                </c:pt>
                <c:pt idx="4">
                  <c:v>Marketing</c:v>
                </c:pt>
                <c:pt idx="5">
                  <c:v>Operations</c:v>
                </c:pt>
                <c:pt idx="6">
                  <c:v>Sales</c:v>
                </c:pt>
              </c:strCache>
            </c:strRef>
          </c:cat>
          <c:val>
            <c:numRef>
              <c:f>Pivot_Satisfaction!$D$4:$D$11</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8-BBEC-427D-A9B2-B49FA3796579}"/>
            </c:ext>
          </c:extLst>
        </c:ser>
        <c:dLbls>
          <c:showLegendKey val="0"/>
          <c:showVal val="1"/>
          <c:showCatName val="0"/>
          <c:showSerName val="0"/>
          <c:showPercent val="0"/>
          <c:showBubbleSize val="0"/>
        </c:dLbls>
        <c:gapWidth val="150"/>
        <c:shape val="box"/>
        <c:axId val="1053784016"/>
        <c:axId val="1053797456"/>
        <c:axId val="0"/>
      </c:bar3DChart>
      <c:catAx>
        <c:axId val="1053784016"/>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000" b="1">
                    <a:solidFill>
                      <a:schemeClr val="tx1">
                        <a:lumMod val="65000"/>
                        <a:lumOff val="35000"/>
                      </a:schemeClr>
                    </a:solidFill>
                  </a:rPr>
                  <a:t>DEPARTMENT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797456"/>
        <c:crosses val="autoZero"/>
        <c:auto val="1"/>
        <c:lblAlgn val="ctr"/>
        <c:lblOffset val="100"/>
        <c:noMultiLvlLbl val="0"/>
      </c:catAx>
      <c:valAx>
        <c:axId val="1053797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000" b="1">
                    <a:solidFill>
                      <a:schemeClr val="tx1">
                        <a:lumMod val="65000"/>
                        <a:lumOff val="35000"/>
                      </a:schemeClr>
                    </a:solidFill>
                  </a:rPr>
                  <a:t>AVERAGE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53784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a:glow rad="63500">
        <a:schemeClr val="accent6">
          <a:satMod val="175000"/>
          <a:alpha val="40000"/>
        </a:schemeClr>
      </a:glow>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[hr_attrition_cleaned_data.xlsx]pivot_Avg_Perf_Years!PivotTable7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a:latin typeface="+mn-lt"/>
              </a:rPr>
              <a:t>Average Performance &amp; Tenure By Department</a:t>
            </a:r>
          </a:p>
        </c:rich>
      </c:tx>
      <c:layout>
        <c:manualLayout>
          <c:xMode val="edge"/>
          <c:yMode val="edge"/>
          <c:x val="0.18807001754547603"/>
          <c:y val="3.9324572483047125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ymbol val="circle"/>
          <c:size val="6"/>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70000"/>
            </a:schemeClr>
          </a:solidFill>
          <a:ln>
            <a:noFill/>
          </a:ln>
          <a:effectLst/>
        </c:spPr>
        <c:marker>
          <c:symbol val="circle"/>
          <c:size val="6"/>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54596396309355"/>
          <c:y val="0.29290567291499947"/>
          <c:w val="0.76135516802730963"/>
          <c:h val="0.46599691532664389"/>
        </c:manualLayout>
      </c:layout>
      <c:barChart>
        <c:barDir val="col"/>
        <c:grouping val="clustered"/>
        <c:varyColors val="0"/>
        <c:ser>
          <c:idx val="0"/>
          <c:order val="0"/>
          <c:tx>
            <c:strRef>
              <c:f>pivot_Avg_Perf_Years!$B$3</c:f>
              <c:strCache>
                <c:ptCount val="1"/>
                <c:pt idx="0">
                  <c:v>Average_Performance_Rating</c:v>
                </c:pt>
              </c:strCache>
            </c:strRef>
          </c:tx>
          <c:spPr>
            <a:solidFill>
              <a:schemeClr val="accent6">
                <a:shade val="76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pivot_Avg_Perf_Years!$C$3</c:f>
              <c:strCache>
                <c:ptCount val="1"/>
                <c:pt idx="0">
                  <c:v>Average_YearsAtCompany</c:v>
                </c:pt>
              </c:strCache>
            </c:strRef>
          </c:tx>
          <c:spPr>
            <a:solidFill>
              <a:schemeClr val="accent6">
                <a:tint val="77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department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Average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a:glow rad="63500">
        <a:schemeClr val="accent6">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57150</xdr:rowOff>
    </xdr:from>
    <xdr:to>
      <xdr:col>6</xdr:col>
      <xdr:colOff>466725</xdr:colOff>
      <xdr:row>29</xdr:row>
      <xdr:rowOff>38100</xdr:rowOff>
    </xdr:to>
    <xdr:graphicFrame macro="">
      <xdr:nvGraphicFramePr>
        <xdr:cNvPr id="2" name="Chart 1">
          <a:extLst>
            <a:ext uri="{FF2B5EF4-FFF2-40B4-BE49-F238E27FC236}">
              <a16:creationId xmlns:a16="http://schemas.microsoft.com/office/drawing/2014/main" id="{B6DA7A7C-B6A4-41C3-B526-1C996F065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466725</xdr:colOff>
      <xdr:row>16</xdr:row>
      <xdr:rowOff>104775</xdr:rowOff>
    </xdr:from>
    <xdr:to>
      <xdr:col>14</xdr:col>
      <xdr:colOff>352425</xdr:colOff>
      <xdr:row>29</xdr:row>
      <xdr:rowOff>38100</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123824</xdr:colOff>
      <xdr:row>16</xdr:row>
      <xdr:rowOff>123825</xdr:rowOff>
    </xdr:from>
    <xdr:to>
      <xdr:col>18</xdr:col>
      <xdr:colOff>342899</xdr:colOff>
      <xdr:row>29</xdr:row>
      <xdr:rowOff>152400</xdr:rowOff>
    </xdr:to>
    <xdr:graphicFrame macro="">
      <xdr:nvGraphicFramePr>
        <xdr:cNvPr id="4" name="Chart 3">
          <a:extLst>
            <a:ext uri="{FF2B5EF4-FFF2-40B4-BE49-F238E27FC236}">
              <a16:creationId xmlns:a16="http://schemas.microsoft.com/office/drawing/2014/main" id="{83B51DCC-60B7-4DB6-87CE-65147285C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104775</xdr:colOff>
      <xdr:row>2</xdr:row>
      <xdr:rowOff>19050</xdr:rowOff>
    </xdr:from>
    <xdr:to>
      <xdr:col>19</xdr:col>
      <xdr:colOff>238125</xdr:colOff>
      <xdr:row>16</xdr:row>
      <xdr:rowOff>123826</xdr:rowOff>
    </xdr:to>
    <xdr:graphicFrame macro="">
      <xdr:nvGraphicFramePr>
        <xdr:cNvPr id="5" name="Chart 4">
          <a:extLst>
            <a:ext uri="{FF2B5EF4-FFF2-40B4-BE49-F238E27FC236}">
              <a16:creationId xmlns:a16="http://schemas.microsoft.com/office/drawing/2014/main" id="{F347C9F5-B764-450F-B747-ACD0633936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38098</xdr:colOff>
      <xdr:row>2</xdr:row>
      <xdr:rowOff>9525</xdr:rowOff>
    </xdr:from>
    <xdr:to>
      <xdr:col>9</xdr:col>
      <xdr:colOff>76199</xdr:colOff>
      <xdr:row>16</xdr:row>
      <xdr:rowOff>133350</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285751</xdr:colOff>
      <xdr:row>2</xdr:row>
      <xdr:rowOff>9525</xdr:rowOff>
    </xdr:from>
    <xdr:to>
      <xdr:col>20</xdr:col>
      <xdr:colOff>457201</xdr:colOff>
      <xdr:row>16</xdr:row>
      <xdr:rowOff>161925</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100A1334-6AF4-90D3-8817-DB508406375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1258551" y="390525"/>
              <a:ext cx="1390650" cy="2819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295275</xdr:colOff>
      <xdr:row>16</xdr:row>
      <xdr:rowOff>114300</xdr:rowOff>
    </xdr:from>
    <xdr:to>
      <xdr:col>20</xdr:col>
      <xdr:colOff>476250</xdr:colOff>
      <xdr:row>30</xdr:row>
      <xdr:rowOff>28575</xdr:rowOff>
    </xdr:to>
    <mc:AlternateContent xmlns:mc="http://schemas.openxmlformats.org/markup-compatibility/2006">
      <mc:Choice xmlns:a14="http://schemas.microsoft.com/office/drawing/2010/main" Requires="a14">
        <xdr:graphicFrame macro="">
          <xdr:nvGraphicFramePr>
            <xdr:cNvPr id="9" name="Department 1">
              <a:extLst>
                <a:ext uri="{FF2B5EF4-FFF2-40B4-BE49-F238E27FC236}">
                  <a16:creationId xmlns:a16="http://schemas.microsoft.com/office/drawing/2014/main" id="{CD07C8C5-DBC9-4473-8A46-AA0F173BE0AA}"/>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1268075" y="3162300"/>
              <a:ext cx="1400175"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kta Singh" refreshedDate="46188.74444884259" createdVersion="8" refreshedVersion="8" minRefreshableVersion="3" recordCount="60" xr:uid="{AA594DAE-B6C5-4E23-8214-126E793F591A}">
  <cacheSource type="worksheet">
    <worksheetSource name="Dim_Employee__1"/>
  </cacheSource>
  <cacheFields count="12">
    <cacheField name="Employee_ID" numFmtId="0">
      <sharedItems count="6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haredItems>
    </cacheField>
    <cacheField name="Full_Name" numFmtId="0">
      <sharedItems/>
    </cacheField>
    <cacheField name="Gender" numFmtId="0">
      <sharedItems count="3">
        <s v="Female"/>
        <s v="Male"/>
        <s v="Other"/>
      </sharedItems>
    </cacheField>
    <cacheField name="Age" numFmtId="0">
      <sharedItems containsSemiMixedTypes="0" containsString="0" containsNumber="1" containsInteger="1" minValue="22" maxValue="47"/>
    </cacheField>
    <cacheField name="Department" numFmtId="0">
      <sharedItems count="7">
        <s v="Finance"/>
        <s v="Marketing"/>
        <s v="Customer Success"/>
        <s v="Operations"/>
        <s v="Sales"/>
        <s v="HR"/>
        <s v="Engineering"/>
      </sharedItems>
    </cacheField>
    <cacheField name="Job_Role" numFmtId="0">
      <sharedItems/>
    </cacheField>
    <cacheField name="Education_Level" numFmtId="0">
      <sharedItems/>
    </cacheField>
    <cacheField name="Marital_Status" numFmtId="0">
      <sharedItems/>
    </cacheField>
    <cacheField name="Hire_Date" numFmtId="14">
      <sharedItems containsSemiMixedTypes="0" containsNonDate="0" containsDate="1" containsString="0" minDate="2015-02-25T00:00:00" maxDate="2024-12-18T00:00:00"/>
    </cacheField>
    <cacheField name="Salary" numFmtId="0">
      <sharedItems containsSemiMixedTypes="0" containsString="0" containsNumber="1" containsInteger="1" minValue="307656" maxValue="2031918"/>
    </cacheField>
    <cacheField name="Experience_Years" numFmtId="0">
      <sharedItems containsSemiMixedTypes="0" containsString="0" containsNumber="1" minValue="0" maxValue="16.5"/>
    </cacheField>
    <cacheField name="First_Name" numFmtId="0">
      <sharedItems/>
    </cacheField>
  </cacheFields>
  <extLst>
    <ext xmlns:x14="http://schemas.microsoft.com/office/spreadsheetml/2009/9/main" uri="{725AE2AE-9491-48be-B2B4-4EB974FC3084}">
      <x14:pivotCacheDefinition pivotCacheId="100313488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050574421293" backgroundQuery="1" createdVersion="8" refreshedVersion="8" minRefreshableVersion="3" recordCount="0" supportSubquery="1" supportAdvancedDrill="1" xr:uid="{1CBB4F05-7972-4AA4-B6A1-3076BCE5B747}">
  <cacheSource type="external" connectionId="6"/>
  <cacheFields count="3">
    <cacheField name="[Dim_Employee__1].[Department].[Department]" caption="Department" numFmtId="0" hierarchy="11" level="1">
      <sharedItems count="7">
        <s v="Customer Success"/>
        <s v="Engineering"/>
        <s v="Finance"/>
        <s v="HR"/>
        <s v="Marketing"/>
        <s v="Operations"/>
        <s v="Sales"/>
      </sharedItems>
    </cacheField>
    <cacheField name="[Measures].[Average of Performance_Rating]" caption="Average of Performance_Rating" numFmtId="0" hierarchy="60" level="32767"/>
    <cacheField name="[Measures].[Average of YearsAtCompany]" caption="Average of YearsAtCompany" numFmtId="0" hierarchy="58" level="32767"/>
  </cacheFields>
  <cacheHierarchies count="67">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050574884262"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ttrition Rate(%)]" caption="Attrition Rate(%)" numFmtId="0" hierarchy="48" level="32767"/>
    <cacheField name="[Measures].[Overtime Rate(%)]" caption="Overtime Rate(%)" numFmtId="0" hierarchy="50" level="32767"/>
    <cacheField name="[Measures].[Attrition Count]" caption="Attrition Count" numFmtId="0" hierarchy="47" level="32767"/>
  </cacheFields>
  <cacheHierarchies count="67">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oneField="1">
      <fieldsUsage count="1">
        <fieldUsage x="3"/>
      </fieldsUsage>
    </cacheHierarchy>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050575347224" backgroundQuery="1" createdVersion="8" refreshedVersion="8" minRefreshableVersion="3" recordCount="0" supportSubquery="1" supportAdvancedDrill="1" xr:uid="{16AEED98-83CD-44C6-B5B6-BD11D242B5FD}">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verage of Environment_Satisfaction]" caption="Average of Environment_Satisfaction" numFmtId="0" hierarchy="64" level="32767"/>
    <cacheField name="[Measures].[Average of Job_Involvement]" caption="Average of Job_Involvement" numFmtId="0" hierarchy="65" level="32767"/>
    <cacheField name="[Measures].[Average of Work_Life_Balance]" caption="Average of Work_Life_Balance" numFmtId="0" hierarchy="66" level="32767"/>
  </cacheFields>
  <cacheHierarchies count="67">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Environment_Satisfaction]" caption="Average of Environment_Satisfaction" measure="1" displayFolder="" measureGroup="Dim_Satisfaction" count="0" oneField="1" hidden="1">
      <fieldsUsage count="1">
        <fieldUsage x="1"/>
      </fieldsUsage>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1"/>
        </ext>
      </extLst>
    </cacheHierarchy>
    <cacheHierarchy uniqueName="[Measures].[Average of Work_Life_Balance]" caption="Average of Work_Life_Balance" measure="1" displayFolder="" measureGroup="Dim_Satisfaction" count="0" oneField="1" hidden="1">
      <fieldsUsage count="1">
        <fieldUsage x="3"/>
      </fieldsUsage>
      <extLst>
        <ext xmlns:x15="http://schemas.microsoft.com/office/spreadsheetml/2010/11/main" uri="{B97F6D7D-B522-45F9-BDA1-12C45D357490}">
          <x15:cacheHierarchy aggregatedColumn="30"/>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030330555557" backgroundQuery="1" createdVersion="3" refreshedVersion="8" minRefreshableVersion="3" recordCount="0" supportSubquery="1" supportAdvancedDrill="1" xr:uid="{E042D7E6-4087-4AB4-AD7B-FB6E6E0B857F}">
  <cacheSource type="external" connectionId="6">
    <extLst>
      <ext xmlns:x14="http://schemas.microsoft.com/office/spreadsheetml/2009/9/main" uri="{F057638F-6D5F-4e77-A914-E7F072B9BCA8}">
        <x14:sourceConnection name="ThisWorkbookDataModel"/>
      </ext>
    </extLst>
  </cacheSource>
  <cacheFields count="0"/>
  <cacheHierarchies count="6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22790483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Arjun Sharma"/>
    <x v="0"/>
    <n v="35"/>
    <x v="0"/>
    <s v="Accountant"/>
    <s v="Bachelors"/>
    <s v="Single"/>
    <d v="2023-02-19T00:00:00"/>
    <n v="559530"/>
    <n v="11.3"/>
    <s v="Arjun"/>
  </r>
  <r>
    <x v="1"/>
    <s v="Aditi Verma"/>
    <x v="1"/>
    <n v="31"/>
    <x v="0"/>
    <s v="Accountant"/>
    <s v="Bachelors"/>
    <s v="Single"/>
    <d v="2018-12-21T00:00:00"/>
    <n v="404598"/>
    <n v="5.2"/>
    <s v="Aditi"/>
  </r>
  <r>
    <x v="2"/>
    <s v="Maya Kapoor"/>
    <x v="1"/>
    <n v="43"/>
    <x v="1"/>
    <s v="SEO Specialist"/>
    <s v="Masters"/>
    <s v="Single"/>
    <d v="2017-12-14T00:00:00"/>
    <n v="661890"/>
    <n v="10.7"/>
    <s v="Maya"/>
  </r>
  <r>
    <x v="3"/>
    <s v="Sofia Nair"/>
    <x v="1"/>
    <n v="37"/>
    <x v="2"/>
    <s v="CS Manager"/>
    <s v="Bachelors"/>
    <s v="Single"/>
    <d v="2020-06-20T00:00:00"/>
    <n v="570284"/>
    <n v="13.7"/>
    <s v="Sofia"/>
  </r>
  <r>
    <x v="4"/>
    <s v="Rohan Verma"/>
    <x v="0"/>
    <n v="28"/>
    <x v="1"/>
    <s v="Marketing Executive"/>
    <s v="PhD"/>
    <s v="Single"/>
    <d v="2023-05-27T00:00:00"/>
    <n v="512318"/>
    <n v="3.9"/>
    <s v="Rohan"/>
  </r>
  <r>
    <x v="5"/>
    <s v="Sara Bose"/>
    <x v="0"/>
    <n v="28"/>
    <x v="3"/>
    <s v="Operations Executive"/>
    <s v="High School"/>
    <s v="Single"/>
    <d v="2019-02-28T00:00:00"/>
    <n v="379621"/>
    <n v="4.3"/>
    <s v="Sara"/>
  </r>
  <r>
    <x v="6"/>
    <s v="Karan Singh"/>
    <x v="1"/>
    <n v="24"/>
    <x v="4"/>
    <s v="Account Manager"/>
    <s v="Masters"/>
    <s v="Single"/>
    <d v="2020-04-22T00:00:00"/>
    <n v="688646"/>
    <n v="1.3"/>
    <s v="Karan"/>
  </r>
  <r>
    <x v="7"/>
    <s v="Rohan Kumar"/>
    <x v="0"/>
    <n v="34"/>
    <x v="0"/>
    <s v="Financial Analyst"/>
    <s v="Masters"/>
    <s v="Single"/>
    <d v="2021-05-21T00:00:00"/>
    <n v="624812"/>
    <n v="8.6999999999999993"/>
    <s v="Rohan"/>
  </r>
  <r>
    <x v="8"/>
    <s v="Maya Gupta"/>
    <x v="0"/>
    <n v="32"/>
    <x v="2"/>
    <s v="CS Executive"/>
    <s v="Bachelors"/>
    <s v="Single"/>
    <d v="2020-07-09T00:00:00"/>
    <n v="307656"/>
    <n v="8"/>
    <s v="Maya"/>
  </r>
  <r>
    <x v="9"/>
    <s v="Vihaan Patel"/>
    <x v="0"/>
    <n v="22"/>
    <x v="1"/>
    <s v="SEO Specialist"/>
    <s v="Bachelors"/>
    <s v="Single"/>
    <d v="2022-03-09T00:00:00"/>
    <n v="393296"/>
    <n v="0"/>
    <s v="Vihaan"/>
  </r>
  <r>
    <x v="10"/>
    <s v="Aditya Gupta"/>
    <x v="0"/>
    <n v="27"/>
    <x v="1"/>
    <s v="SEO Specialist"/>
    <s v="Masters"/>
    <s v="Single"/>
    <d v="2024-07-12T00:00:00"/>
    <n v="483891"/>
    <n v="4.2"/>
    <s v="Aditya"/>
  </r>
  <r>
    <x v="11"/>
    <s v="Karan Mehta"/>
    <x v="1"/>
    <n v="29"/>
    <x v="5"/>
    <s v="HR Executive"/>
    <s v="Masters"/>
    <s v="Single"/>
    <d v="2017-11-14T00:00:00"/>
    <n v="470981"/>
    <n v="3.9"/>
    <s v="Karan"/>
  </r>
  <r>
    <x v="12"/>
    <s v="Sara Kumar"/>
    <x v="1"/>
    <n v="37"/>
    <x v="1"/>
    <s v="Marketing Manager"/>
    <s v="Bachelors"/>
    <s v="Divorced"/>
    <d v="2015-11-24T00:00:00"/>
    <n v="817189"/>
    <n v="9.8000000000000007"/>
    <s v="Sara"/>
  </r>
  <r>
    <x v="13"/>
    <s v="Arjun Shah"/>
    <x v="0"/>
    <n v="23"/>
    <x v="2"/>
    <s v="CS Manager"/>
    <s v="Bachelors"/>
    <s v="Single"/>
    <d v="2022-01-24T00:00:00"/>
    <n v="557356"/>
    <n v="0.8"/>
    <s v="Arjun"/>
  </r>
  <r>
    <x v="14"/>
    <s v="Rohan Ahuja"/>
    <x v="0"/>
    <n v="37"/>
    <x v="1"/>
    <s v="Marketing Executive"/>
    <s v="Masters"/>
    <s v="Single"/>
    <d v="2023-10-07T00:00:00"/>
    <n v="401850"/>
    <n v="8.1999999999999993"/>
    <s v="Rohan"/>
  </r>
  <r>
    <x v="15"/>
    <s v="Aditya Bose"/>
    <x v="0"/>
    <n v="33"/>
    <x v="1"/>
    <s v="Marketing Executive"/>
    <s v="Bachelors"/>
    <s v="Single"/>
    <d v="2016-06-27T00:00:00"/>
    <n v="445311"/>
    <n v="5.7"/>
    <s v="Aditya"/>
  </r>
  <r>
    <x v="16"/>
    <s v="Aman Gupta"/>
    <x v="1"/>
    <n v="22"/>
    <x v="1"/>
    <s v="Marketing Executive"/>
    <s v="High School"/>
    <s v="Single"/>
    <d v="2016-09-25T00:00:00"/>
    <n v="455869"/>
    <n v="0"/>
    <s v="Aman"/>
  </r>
  <r>
    <x v="17"/>
    <s v="Aditya Mehta"/>
    <x v="0"/>
    <n v="26"/>
    <x v="1"/>
    <s v="Content Strategist"/>
    <s v="Bachelors"/>
    <s v="Married"/>
    <d v="2021-04-18T00:00:00"/>
    <n v="518346"/>
    <n v="2.6"/>
    <s v="Aditya"/>
  </r>
  <r>
    <x v="18"/>
    <s v="Sai Joshi"/>
    <x v="1"/>
    <n v="34"/>
    <x v="3"/>
    <s v="Logistics Coordinator"/>
    <s v="Bachelors"/>
    <s v="Married"/>
    <d v="2022-02-08T00:00:00"/>
    <n v="584145"/>
    <n v="6.4"/>
    <s v="Sai"/>
  </r>
  <r>
    <x v="19"/>
    <s v="Karan Kumar"/>
    <x v="1"/>
    <n v="29"/>
    <x v="1"/>
    <s v="Content Strategist"/>
    <s v="Bachelors"/>
    <s v="Single"/>
    <d v="2015-04-03T00:00:00"/>
    <n v="402768"/>
    <n v="6.2"/>
    <s v="Karan"/>
  </r>
  <r>
    <x v="20"/>
    <s v="Vivaan Iyer"/>
    <x v="1"/>
    <n v="39"/>
    <x v="0"/>
    <s v="Finance Manager"/>
    <s v="Bachelors"/>
    <s v="Single"/>
    <d v="2017-12-19T00:00:00"/>
    <n v="601465"/>
    <n v="15.1"/>
    <s v="Vivaan"/>
  </r>
  <r>
    <x v="21"/>
    <s v="Rhea Malhotra"/>
    <x v="1"/>
    <n v="38"/>
    <x v="4"/>
    <s v="Sales Manager"/>
    <s v="Bachelors"/>
    <s v="Single"/>
    <d v="2021-06-14T00:00:00"/>
    <n v="562398"/>
    <n v="10.9"/>
    <s v="Rhea"/>
  </r>
  <r>
    <x v="22"/>
    <s v="Aditi Chopra"/>
    <x v="0"/>
    <n v="34"/>
    <x v="5"/>
    <s v="HR Executive"/>
    <s v="High School"/>
    <s v="Married"/>
    <d v="2016-04-07T00:00:00"/>
    <n v="335021"/>
    <n v="8"/>
    <s v="Aditi"/>
  </r>
  <r>
    <x v="23"/>
    <s v="Sai Shah"/>
    <x v="1"/>
    <n v="38"/>
    <x v="4"/>
    <s v="Sales Executive"/>
    <s v="Bachelors"/>
    <s v="Single"/>
    <d v="2016-08-26T00:00:00"/>
    <n v="417433"/>
    <n v="10.5"/>
    <s v="Sai"/>
  </r>
  <r>
    <x v="24"/>
    <s v="Maya Singh"/>
    <x v="1"/>
    <n v="37"/>
    <x v="1"/>
    <s v="Marketing Executive"/>
    <s v="PhD"/>
    <s v="Married"/>
    <d v="2018-03-14T00:00:00"/>
    <n v="494664"/>
    <n v="14.2"/>
    <s v="Maya"/>
  </r>
  <r>
    <x v="25"/>
    <s v="Kritika Malhotra"/>
    <x v="1"/>
    <n v="41"/>
    <x v="4"/>
    <s v="Sales Executive"/>
    <s v="Bachelors"/>
    <s v="Single"/>
    <d v="2021-05-26T00:00:00"/>
    <n v="539672"/>
    <n v="10.6"/>
    <s v="Kritika"/>
  </r>
  <r>
    <x v="26"/>
    <s v="Priya Joshi"/>
    <x v="1"/>
    <n v="34"/>
    <x v="3"/>
    <s v="Logistics Coordinator"/>
    <s v="Bachelors"/>
    <s v="Single"/>
    <d v="2018-05-07T00:00:00"/>
    <n v="439176"/>
    <n v="10.6"/>
    <s v="Priya"/>
  </r>
  <r>
    <x v="27"/>
    <s v="Vivaan Desai"/>
    <x v="0"/>
    <n v="42"/>
    <x v="5"/>
    <s v="HR Manager"/>
    <s v="High School"/>
    <s v="Single"/>
    <d v="2023-09-06T00:00:00"/>
    <n v="719481"/>
    <n v="15.2"/>
    <s v="Vivaan"/>
  </r>
  <r>
    <x v="28"/>
    <s v="Vivaan Ahuja"/>
    <x v="1"/>
    <n v="32"/>
    <x v="0"/>
    <s v="Accountant"/>
    <s v="Bachelors"/>
    <s v="Married"/>
    <d v="2018-07-04T00:00:00"/>
    <n v="528000"/>
    <n v="6.6"/>
    <s v="Vivaan"/>
  </r>
  <r>
    <x v="29"/>
    <s v="Rhea Gupta"/>
    <x v="0"/>
    <n v="29"/>
    <x v="5"/>
    <s v="HR Executive"/>
    <s v="Bachelors"/>
    <s v="Single"/>
    <d v="2023-06-09T00:00:00"/>
    <n v="393527"/>
    <n v="6.7"/>
    <s v="Rhea"/>
  </r>
  <r>
    <x v="30"/>
    <s v="Sai Iyer"/>
    <x v="1"/>
    <n v="42"/>
    <x v="4"/>
    <s v="Sales Executive"/>
    <s v="Bachelors"/>
    <s v="Single"/>
    <d v="2020-02-01T00:00:00"/>
    <n v="339249"/>
    <n v="12.3"/>
    <s v="Sai"/>
  </r>
  <r>
    <x v="31"/>
    <s v="Priya Khan"/>
    <x v="2"/>
    <n v="28"/>
    <x v="5"/>
    <s v="HR Executive"/>
    <s v="Bachelors"/>
    <s v="Single"/>
    <d v="2017-06-03T00:00:00"/>
    <n v="365785"/>
    <n v="3.9"/>
    <s v="Priya"/>
  </r>
  <r>
    <x v="32"/>
    <s v="Karan Bose"/>
    <x v="1"/>
    <n v="38"/>
    <x v="4"/>
    <s v="Account Manager"/>
    <s v="Masters"/>
    <s v="Married"/>
    <d v="2023-01-22T00:00:00"/>
    <n v="598031"/>
    <n v="14.4"/>
    <s v="Karan"/>
  </r>
  <r>
    <x v="33"/>
    <s v="Maya Joshi"/>
    <x v="0"/>
    <n v="34"/>
    <x v="5"/>
    <s v="HR Executive"/>
    <s v="Bachelors"/>
    <s v="Married"/>
    <d v="2023-03-09T00:00:00"/>
    <n v="484893"/>
    <n v="11.4"/>
    <s v="Maya"/>
  </r>
  <r>
    <x v="34"/>
    <s v="Aman Khan"/>
    <x v="1"/>
    <n v="27"/>
    <x v="6"/>
    <s v="Senior Software Engineer"/>
    <s v="Bachelors"/>
    <s v="Married"/>
    <d v="2023-08-09T00:00:00"/>
    <n v="1438525"/>
    <n v="3.1"/>
    <s v="Aman"/>
  </r>
  <r>
    <x v="35"/>
    <s v="Vivaan Kumar"/>
    <x v="0"/>
    <n v="29"/>
    <x v="2"/>
    <s v="CS Manager"/>
    <s v="High School"/>
    <s v="Single"/>
    <d v="2017-11-09T00:00:00"/>
    <n v="875288"/>
    <n v="6.4"/>
    <s v="Vivaan"/>
  </r>
  <r>
    <x v="36"/>
    <s v="Ishaan Chopra"/>
    <x v="0"/>
    <n v="32"/>
    <x v="4"/>
    <s v="Account Manager"/>
    <s v="High School"/>
    <s v="Single"/>
    <d v="2017-09-02T00:00:00"/>
    <n v="615942"/>
    <n v="7.1"/>
    <s v="Ishaan"/>
  </r>
  <r>
    <x v="37"/>
    <s v="Isha Desai"/>
    <x v="0"/>
    <n v="30"/>
    <x v="4"/>
    <s v="Sales Executive"/>
    <s v="High School"/>
    <s v="Single"/>
    <d v="2015-06-07T00:00:00"/>
    <n v="421349"/>
    <n v="4.5"/>
    <s v="Isha"/>
  </r>
  <r>
    <x v="38"/>
    <s v="Karan Singh"/>
    <x v="1"/>
    <n v="30"/>
    <x v="1"/>
    <s v="Marketing Manager"/>
    <s v="PhD"/>
    <s v="Married"/>
    <d v="2018-03-26T00:00:00"/>
    <n v="915543"/>
    <n v="6.1"/>
    <s v="Karan"/>
  </r>
  <r>
    <x v="39"/>
    <s v="Ishaan Kapoor"/>
    <x v="1"/>
    <n v="34"/>
    <x v="3"/>
    <s v="Operations Manager"/>
    <s v="Masters"/>
    <s v="Single"/>
    <d v="2018-05-06T00:00:00"/>
    <n v="927526"/>
    <n v="8.1999999999999993"/>
    <s v="Ishaan"/>
  </r>
  <r>
    <x v="40"/>
    <s v="Arjun Das"/>
    <x v="0"/>
    <n v="22"/>
    <x v="2"/>
    <s v="CS Manager"/>
    <s v="Bachelors"/>
    <s v="Married"/>
    <d v="2022-06-10T00:00:00"/>
    <n v="487752"/>
    <n v="0"/>
    <s v="Arjun"/>
  </r>
  <r>
    <x v="41"/>
    <s v="Karan Gupta"/>
    <x v="1"/>
    <n v="31"/>
    <x v="0"/>
    <s v="Finance Manager"/>
    <s v="Bachelors"/>
    <s v="Married"/>
    <d v="2019-06-21T00:00:00"/>
    <n v="841500"/>
    <n v="7.2"/>
    <s v="Karan"/>
  </r>
  <r>
    <x v="42"/>
    <s v="Nora Das"/>
    <x v="0"/>
    <n v="30"/>
    <x v="2"/>
    <s v="CS Manager"/>
    <s v="Masters"/>
    <s v="Single"/>
    <d v="2019-03-19T00:00:00"/>
    <n v="700639"/>
    <n v="4.5999999999999996"/>
    <s v="Nora"/>
  </r>
  <r>
    <x v="43"/>
    <s v="Rohan Verma"/>
    <x v="1"/>
    <n v="34"/>
    <x v="4"/>
    <s v="Sales Manager"/>
    <s v="Masters"/>
    <s v="Single"/>
    <d v="2024-09-04T00:00:00"/>
    <n v="625996"/>
    <n v="11.9"/>
    <s v="Rohan"/>
  </r>
  <r>
    <x v="44"/>
    <s v="Ananya Desai"/>
    <x v="1"/>
    <n v="39"/>
    <x v="5"/>
    <s v="HR Manager"/>
    <s v="High School"/>
    <s v="Married"/>
    <d v="2023-11-24T00:00:00"/>
    <n v="871021"/>
    <n v="10.5"/>
    <s v="Ananya"/>
  </r>
  <r>
    <x v="45"/>
    <s v="Sai Bose"/>
    <x v="1"/>
    <n v="37"/>
    <x v="3"/>
    <s v="Operations Manager"/>
    <s v="Bachelors"/>
    <s v="Married"/>
    <d v="2016-12-10T00:00:00"/>
    <n v="767837"/>
    <n v="10.3"/>
    <s v="Sai"/>
  </r>
  <r>
    <x v="46"/>
    <s v="Nora Joshi"/>
    <x v="0"/>
    <n v="36"/>
    <x v="6"/>
    <s v="Data Scientist"/>
    <s v="Bachelors"/>
    <s v="Single"/>
    <d v="2018-07-22T00:00:00"/>
    <n v="1965609"/>
    <n v="7.6"/>
    <s v="Nora"/>
  </r>
  <r>
    <x v="47"/>
    <s v="Ananya Reddy"/>
    <x v="0"/>
    <n v="47"/>
    <x v="6"/>
    <s v="Data Scientist"/>
    <s v="Bachelors"/>
    <s v="Single"/>
    <d v="2019-04-14T00:00:00"/>
    <n v="1270761"/>
    <n v="16.5"/>
    <s v="Ananya"/>
  </r>
  <r>
    <x v="48"/>
    <s v="Rhea Khan"/>
    <x v="0"/>
    <n v="32"/>
    <x v="4"/>
    <s v="Sales Manager"/>
    <s v="Bachelors"/>
    <s v="Single"/>
    <d v="2022-12-06T00:00:00"/>
    <n v="512360"/>
    <n v="8.4"/>
    <s v="Rhea"/>
  </r>
  <r>
    <x v="49"/>
    <s v="Vihaan Joshi"/>
    <x v="1"/>
    <n v="28"/>
    <x v="3"/>
    <s v="Logistics Coordinator"/>
    <s v="Bachelors"/>
    <s v="Married"/>
    <d v="2018-11-10T00:00:00"/>
    <n v="360590"/>
    <n v="4.5"/>
    <s v="Vihaan"/>
  </r>
  <r>
    <x v="50"/>
    <s v="Karan Patel"/>
    <x v="1"/>
    <n v="24"/>
    <x v="5"/>
    <s v="HR Executive"/>
    <s v="PhD"/>
    <s v="Married"/>
    <d v="2016-08-14T00:00:00"/>
    <n v="436822"/>
    <n v="1.7"/>
    <s v="Karan"/>
  </r>
  <r>
    <x v="51"/>
    <s v="Rhea Patel"/>
    <x v="0"/>
    <n v="35"/>
    <x v="4"/>
    <s v="Sales Manager"/>
    <s v="Bachelors"/>
    <s v="Single"/>
    <d v="2015-02-25T00:00:00"/>
    <n v="573311"/>
    <n v="12.6"/>
    <s v="Rhea"/>
  </r>
  <r>
    <x v="52"/>
    <s v="Aditi Gupta"/>
    <x v="1"/>
    <n v="26"/>
    <x v="3"/>
    <s v="Logistics Coordinator"/>
    <s v="Bachelors"/>
    <s v="Single"/>
    <d v="2016-08-05T00:00:00"/>
    <n v="551938"/>
    <n v="3.8"/>
    <s v="Aditi"/>
  </r>
  <r>
    <x v="53"/>
    <s v="Priya Ahuja"/>
    <x v="2"/>
    <n v="29"/>
    <x v="1"/>
    <s v="SEO Specialist"/>
    <s v="PhD"/>
    <s v="Married"/>
    <d v="2024-12-17T00:00:00"/>
    <n v="557755"/>
    <n v="4.4000000000000004"/>
    <s v="Priya"/>
  </r>
  <r>
    <x v="54"/>
    <s v="Aditi Shah"/>
    <x v="1"/>
    <n v="33"/>
    <x v="0"/>
    <s v="Financial Analyst"/>
    <s v="Masters"/>
    <s v="Single"/>
    <d v="2018-11-09T00:00:00"/>
    <n v="434648"/>
    <n v="8.4"/>
    <s v="Aditi"/>
  </r>
  <r>
    <x v="55"/>
    <s v="Nora Malhotra"/>
    <x v="0"/>
    <n v="41"/>
    <x v="6"/>
    <s v="Data Scientist"/>
    <s v="High School"/>
    <s v="Single"/>
    <d v="2019-06-11T00:00:00"/>
    <n v="2031918"/>
    <n v="10.4"/>
    <s v="Nora"/>
  </r>
  <r>
    <x v="56"/>
    <s v="Maya Kumar"/>
    <x v="1"/>
    <n v="33"/>
    <x v="0"/>
    <s v="Finance Manager"/>
    <s v="Bachelors"/>
    <s v="Married"/>
    <d v="2016-07-14T00:00:00"/>
    <n v="755557"/>
    <n v="7.4"/>
    <s v="Maya"/>
  </r>
  <r>
    <x v="57"/>
    <s v="Sofia Shah"/>
    <x v="1"/>
    <n v="37"/>
    <x v="5"/>
    <s v="HR Executive"/>
    <s v="Masters"/>
    <s v="Single"/>
    <d v="2024-12-01T00:00:00"/>
    <n v="597590"/>
    <n v="12.9"/>
    <s v="Sofia"/>
  </r>
  <r>
    <x v="58"/>
    <s v="Rhea Das"/>
    <x v="1"/>
    <n v="33"/>
    <x v="6"/>
    <s v="DevOps Engineer"/>
    <s v="Masters"/>
    <s v="Married"/>
    <d v="2021-09-24T00:00:00"/>
    <n v="683008"/>
    <n v="9"/>
    <s v="Rhea"/>
  </r>
  <r>
    <x v="59"/>
    <s v="Maya Khan"/>
    <x v="0"/>
    <n v="34"/>
    <x v="4"/>
    <s v="Sales Executive"/>
    <s v="Bachelors"/>
    <s v="Single"/>
    <d v="2021-06-22T00:00:00"/>
    <n v="598045"/>
    <n v="7"/>
    <s v="May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A6D479-01BF-44F6-AAF7-4CA3A0D0F0E8}" name="PivotTable1" cacheId="1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Department">
  <location ref="A3:B11" firstHeaderRow="1" firstDataRow="1" firstDataCol="1"/>
  <pivotFields count="12">
    <pivotField dataField="1"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pivotField showAll="0"/>
    <pivotField showAll="0"/>
    <pivotField axis="axisRow" showAll="0">
      <items count="8">
        <item x="2"/>
        <item x="6"/>
        <item x="0"/>
        <item x="5"/>
        <item x="1"/>
        <item x="3"/>
        <item x="4"/>
        <item t="default"/>
      </items>
    </pivotField>
    <pivotField showAll="0"/>
    <pivotField showAll="0"/>
    <pivotField showAll="0"/>
    <pivotField numFmtId="14" showAll="0"/>
    <pivotField showAll="0"/>
    <pivotField showAll="0"/>
    <pivotField showAll="0"/>
  </pivotFields>
  <rowFields count="1">
    <field x="4"/>
  </rowFields>
  <rowItems count="8">
    <i>
      <x/>
    </i>
    <i>
      <x v="1"/>
    </i>
    <i>
      <x v="2"/>
    </i>
    <i>
      <x v="3"/>
    </i>
    <i>
      <x v="4"/>
    </i>
    <i>
      <x v="5"/>
    </i>
    <i>
      <x v="6"/>
    </i>
    <i t="grand">
      <x/>
    </i>
  </rowItems>
  <colItems count="1">
    <i/>
  </colItems>
  <dataFields count="1">
    <dataField name="Employee_Count" fld="0" subtotal="count" baseField="4" baseItem="0"/>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74C958-A22D-4C04-A30A-4419EE7610EF}" name="PivotTable2" cacheId="1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Gender">
  <location ref="A3:B7" firstHeaderRow="1" firstDataRow="1" firstDataCol="1"/>
  <pivotFields count="12">
    <pivotField dataField="1" showAll="0"/>
    <pivotField showAll="0"/>
    <pivotField axis="axisRow" showAll="0">
      <items count="4">
        <item x="0"/>
        <item x="1"/>
        <item x="2"/>
        <item t="default"/>
      </items>
    </pivotField>
    <pivotField showAll="0"/>
    <pivotField showAll="0">
      <items count="8">
        <item x="2"/>
        <item x="6"/>
        <item x="0"/>
        <item x="5"/>
        <item x="1"/>
        <item x="3"/>
        <item x="4"/>
        <item t="default"/>
      </items>
    </pivotField>
    <pivotField showAll="0"/>
    <pivotField showAll="0"/>
    <pivotField showAll="0"/>
    <pivotField numFmtId="14" showAll="0"/>
    <pivotField showAll="0"/>
    <pivotField showAll="0"/>
    <pivotField showAll="0"/>
  </pivotFields>
  <rowFields count="1">
    <field x="2"/>
  </rowFields>
  <rowItems count="4">
    <i>
      <x/>
    </i>
    <i>
      <x v="1"/>
    </i>
    <i>
      <x v="2"/>
    </i>
    <i t="grand">
      <x/>
    </i>
  </rowItems>
  <colItems count="1">
    <i/>
  </colItems>
  <dataFields count="1">
    <dataField name="Employee_Count" fld="0" subtotal="count" baseField="2" baseItem="0"/>
  </dataFields>
  <chartFormats count="4">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2" count="1" selected="0">
            <x v="0"/>
          </reference>
        </references>
      </pivotArea>
    </chartFormat>
    <chartFormat chart="13" format="7">
      <pivotArea type="data" outline="0" fieldPosition="0">
        <references count="2">
          <reference field="4294967294" count="1" selected="0">
            <x v="0"/>
          </reference>
          <reference field="2" count="1" selected="0">
            <x v="1"/>
          </reference>
        </references>
      </pivotArea>
    </chartFormat>
    <chartFormat chart="13" format="8">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278"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0">
  <location ref="A3:C11"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name="Average_Performance_Rating" fld="1" subtotal="average" baseField="0" baseItem="0"/>
    <dataField name="Average_YearsAtCompany" fld="2" subtotal="average" baseField="0" baseItem="0"/>
  </dataFields>
  <formats count="1">
    <format dxfId="21">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67">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_YearsAtCompany"/>
    <pivotHierarchy dragToData="1"/>
    <pivotHierarchy dragToData="1" caption="Average_Performance_Rating"/>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284"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17">
  <location ref="A3:D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name="Average_Work_Life_Balance" fld="3" subtotal="average" baseField="0" baseItem="0"/>
    <dataField name="Average_Job_Involvement" fld="2" subtotal="average" baseField="0" baseItem="0"/>
    <dataField name="Average_Environment_Satisfaction" fld="1" subtotal="average" baseField="0" baseItem="0"/>
  </dataFields>
  <formats count="1">
    <format dxfId="20">
      <pivotArea outline="0" collapsedLevelsAreSubtotals="1" fieldPosition="0"/>
    </format>
  </formats>
  <chartFormats count="3">
    <chartFormat chart="6" format="15" series="1">
      <pivotArea type="data" outline="0" fieldPosition="0">
        <references count="1">
          <reference field="4294967294" count="1" selected="0">
            <x v="0"/>
          </reference>
        </references>
      </pivotArea>
    </chartFormat>
    <chartFormat chart="6" format="16" series="1">
      <pivotArea type="data" outline="0" fieldPosition="0">
        <references count="1">
          <reference field="4294967294" count="1" selected="0">
            <x v="1"/>
          </reference>
        </references>
      </pivotArea>
    </chartFormat>
    <chartFormat chart="6" format="17" series="1">
      <pivotArea type="data" outline="0" fieldPosition="0">
        <references count="1">
          <reference field="4294967294" count="1" selected="0">
            <x v="2"/>
          </reference>
        </references>
      </pivotArea>
    </chartFormat>
  </chartFormats>
  <pivotHierarchies count="67">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_Environment_Satisfaction"/>
    <pivotHierarchy dragToData="1" caption="Average_Job_Involvement"/>
    <pivotHierarchy dragToData="1" caption="Average_Work_Life_Balance"/>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281"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4" rowHeaderCaption="Department">
  <location ref="A3:D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name="Attrition_Count" fld="3" subtotal="count" baseField="0" baseItem="0"/>
    <dataField name="Attrition_Rate(%)" fld="1" subtotal="count" baseField="0" baseItem="0"/>
    <dataField name="Overtime_Rate(%)" fld="2" subtotal="count" baseField="0" baseItem="0"/>
  </dataField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s>
  <pivotHierarchies count="67">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_Rate(%)"/>
    <pivotHierarchy dragToRow="0" dragToCol="0" dragToPage="0" dragToData="1"/>
    <pivotHierarchy dragToRow="0" dragToCol="0" dragToPage="0" dragToData="1" caption="Overtime_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667CDBFD-E39C-456C-B91F-984A0C8A8FCD}" sourceName="Department">
  <pivotTables>
    <pivotTable tabId="7" name="PivotTable1"/>
    <pivotTable tabId="8" name="PivotTable2"/>
  </pivotTables>
  <data>
    <tabular pivotCacheId="1003134882">
      <items count="7">
        <i x="2" s="1"/>
        <i x="6" s="1"/>
        <i x="0" s="1"/>
        <i x="5"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007E24C0-C5D4-4461-98C2-951792D2F79B}" sourceName="[Dim_Employee__1].[Department]">
  <pivotTables>
    <pivotTable tabId="13" name="PivotTable7"/>
    <pivotTable tabId="18" name="PivotTable11"/>
    <pivotTable tabId="15" name="PivotTable9"/>
  </pivotTables>
  <data>
    <olap pivotCacheId="1227904831">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89F5FA95-BBA3-460C-929F-0E181DB2895B}" cache="Slicer_Department" caption="Department" style="SlicerStyleLight6" rowHeight="241300"/>
  <slicer name="Department 1" xr10:uid="{8D33275C-F087-46D9-B1CC-AEF42E41F561}" cache="Slicer_Department1" caption="Department"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44"/>
    <tableColumn id="2" xr3:uid="{84052E1B-5B0A-412B-9E93-92297232CA71}" uniqueName="2" name="Employee_ID" queryTableFieldId="2" dataDxfId="43"/>
    <tableColumn id="3" xr3:uid="{1070FF64-38D3-49BA-8D6A-044541B7A937}" uniqueName="3" name="Date_ID" queryTableFieldId="3" dataDxfId="42"/>
    <tableColumn id="4" xr3:uid="{6ED96138-2046-4D0C-9EBF-D58776E571E8}" uniqueName="4" name="Attrition_Status" queryTableFieldId="4" dataDxfId="41"/>
    <tableColumn id="5" xr3:uid="{B731C2B2-2466-4038-98B8-03C7C56B1DCE}" uniqueName="5" name="Attrition_Status_1" queryTableFieldId="5" dataDxfId="40"/>
    <tableColumn id="6" xr3:uid="{DBA68B2B-11BD-4583-8E94-039C337C64A4}" uniqueName="6" name="Monthly_Income" queryTableFieldId="6"/>
    <tableColumn id="7" xr3:uid="{F70A9823-0CF9-4C9B-8AB8-B4C835C13098}" uniqueName="7" name="OverTime" queryTableFieldId="7" dataDxfId="39"/>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38"/>
    <tableColumn id="2" xr3:uid="{042E6865-EE7E-4F5B-AF1D-496E92BB5E29}" uniqueName="2" name="Employee_ID" queryTableFieldId="2" dataDxfId="37"/>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36"/>
    <tableColumn id="2" xr3:uid="{0AEB8978-E8FE-4562-A988-85DA3FC22142}" uniqueName="2" name="Employee_ID" queryTableFieldId="2" dataDxfId="35"/>
    <tableColumn id="3" xr3:uid="{F5FB0E22-B9C4-498C-8743-3EDCDE6099C1}" uniqueName="3" name="Year" queryTableFieldId="3" dataDxfId="34"/>
    <tableColumn id="4" xr3:uid="{DF15CA23-22EB-448D-97C9-9569992DE9FB}" uniqueName="4" name="Performance_Rating" queryTableFieldId="4" dataDxfId="33"/>
    <tableColumn id="5" xr3:uid="{33FA9051-1DB4-4511-93D1-14B621C5B422}" uniqueName="5" name="Last_Promotion_Year" queryTableFieldId="5" dataDxfId="32"/>
    <tableColumn id="6" xr3:uid="{A70D4905-CD7F-4374-9923-257CBEDD4DE1}" uniqueName="6" name="Manager_Feedback" queryTableFieldId="6" dataDxfId="3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30"/>
    <tableColumn id="2" xr3:uid="{94A2F1D5-16E7-4E41-B409-238FF9E374F2}" uniqueName="2" name="Full_Name" queryTableFieldId="2" dataDxfId="29"/>
    <tableColumn id="3" xr3:uid="{73A3718B-65AF-430A-ACCF-C7568A3122A6}" uniqueName="3" name="Gender" queryTableFieldId="3" dataDxfId="28"/>
    <tableColumn id="4" xr3:uid="{22619D2D-AD3E-4212-82C0-E66F8FE23D17}" uniqueName="4" name="Age" queryTableFieldId="4"/>
    <tableColumn id="5" xr3:uid="{4744766D-7223-44F0-B08D-BE31F8E9AD98}" uniqueName="5" name="Department" queryTableFieldId="5" dataDxfId="27"/>
    <tableColumn id="6" xr3:uid="{8EEA061D-B2F3-4688-B950-2C2A6A4EF16B}" uniqueName="6" name="Job_Role" queryTableFieldId="6" dataDxfId="26"/>
    <tableColumn id="7" xr3:uid="{158F0EC3-EA28-49B3-9A66-BF3D1433A1C0}" uniqueName="7" name="Education_Level" queryTableFieldId="7" dataDxfId="25"/>
    <tableColumn id="8" xr3:uid="{441CE745-8687-46D5-8B81-2BADCA34A554}" uniqueName="8" name="Marital_Status" queryTableFieldId="8" dataDxfId="24"/>
    <tableColumn id="9" xr3:uid="{41BA9FE1-1D4A-487A-978F-BAF97E1C972F}" uniqueName="9" name="Hire_Date" queryTableFieldId="9" dataDxfId="23"/>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48"/>
    <tableColumn id="2" xr3:uid="{7A3EA04E-B891-4817-B74E-D4BE55806D2F}" uniqueName="2" name="Date" queryTableFieldId="2" dataDxfId="47"/>
    <tableColumn id="3" xr3:uid="{D7E12BFC-1F5E-4258-84FC-1D2E70DA8DE8}" uniqueName="3" name="Month" queryTableFieldId="3" dataDxfId="46"/>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4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topLeftCell="A2" workbookViewId="0"/>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topLeftCell="A2" workbookViewId="0">
      <selection activeCell="J1" sqref="J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A7E3A-166C-4A54-8D7A-8EB243C8CCF9}">
  <dimension ref="A3:B11"/>
  <sheetViews>
    <sheetView workbookViewId="0">
      <selection activeCell="N6" sqref="N6"/>
    </sheetView>
  </sheetViews>
  <sheetFormatPr defaultRowHeight="15" x14ac:dyDescent="0.25"/>
  <cols>
    <col min="1" max="1" width="16.85546875" bestFit="1" customWidth="1"/>
    <col min="2" max="2" width="16.28515625" bestFit="1" customWidth="1"/>
  </cols>
  <sheetData>
    <row r="3" spans="1:2" x14ac:dyDescent="0.25">
      <c r="A3" s="2" t="s">
        <v>53</v>
      </c>
      <c r="B3" t="s">
        <v>2436</v>
      </c>
    </row>
    <row r="4" spans="1:2" x14ac:dyDescent="0.25">
      <c r="A4" s="3" t="s">
        <v>81</v>
      </c>
      <c r="B4" s="4">
        <v>6</v>
      </c>
    </row>
    <row r="5" spans="1:2" x14ac:dyDescent="0.25">
      <c r="A5" s="3" t="s">
        <v>178</v>
      </c>
      <c r="B5" s="4">
        <v>5</v>
      </c>
    </row>
    <row r="6" spans="1:2" x14ac:dyDescent="0.25">
      <c r="A6" s="3" t="s">
        <v>64</v>
      </c>
      <c r="B6" s="4">
        <v>8</v>
      </c>
    </row>
    <row r="7" spans="1:2" x14ac:dyDescent="0.25">
      <c r="A7" s="3" t="s">
        <v>114</v>
      </c>
      <c r="B7" s="4">
        <v>9</v>
      </c>
    </row>
    <row r="8" spans="1:2" x14ac:dyDescent="0.25">
      <c r="A8" s="3" t="s">
        <v>75</v>
      </c>
      <c r="B8" s="4">
        <v>13</v>
      </c>
    </row>
    <row r="9" spans="1:2" x14ac:dyDescent="0.25">
      <c r="A9" s="3" t="s">
        <v>91</v>
      </c>
      <c r="B9" s="4">
        <v>7</v>
      </c>
    </row>
    <row r="10" spans="1:2" x14ac:dyDescent="0.25">
      <c r="A10" s="3" t="s">
        <v>97</v>
      </c>
      <c r="B10" s="4">
        <v>12</v>
      </c>
    </row>
    <row r="11" spans="1:2" x14ac:dyDescent="0.25">
      <c r="A11" s="3" t="s">
        <v>2430</v>
      </c>
      <c r="B11" s="4">
        <v>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D1A3-A335-4F4D-99FE-CF70D50FD5D3}">
  <dimension ref="A3:B7"/>
  <sheetViews>
    <sheetView workbookViewId="0">
      <selection activeCell="O8" sqref="O8"/>
    </sheetView>
  </sheetViews>
  <sheetFormatPr defaultRowHeight="15" x14ac:dyDescent="0.25"/>
  <cols>
    <col min="1" max="1" width="11.28515625" bestFit="1" customWidth="1"/>
    <col min="2" max="2" width="16.28515625" bestFit="1" customWidth="1"/>
  </cols>
  <sheetData>
    <row r="3" spans="1:2" x14ac:dyDescent="0.25">
      <c r="A3" s="2" t="s">
        <v>51</v>
      </c>
      <c r="B3" t="s">
        <v>2436</v>
      </c>
    </row>
    <row r="4" spans="1:2" x14ac:dyDescent="0.25">
      <c r="A4" s="3" t="s">
        <v>63</v>
      </c>
      <c r="B4" s="4">
        <v>26</v>
      </c>
    </row>
    <row r="5" spans="1:2" x14ac:dyDescent="0.25">
      <c r="A5" s="3" t="s">
        <v>71</v>
      </c>
      <c r="B5" s="4">
        <v>32</v>
      </c>
    </row>
    <row r="6" spans="1:2" x14ac:dyDescent="0.25">
      <c r="A6" s="3" t="s">
        <v>171</v>
      </c>
      <c r="B6" s="4">
        <v>2</v>
      </c>
    </row>
    <row r="7" spans="1:2" x14ac:dyDescent="0.25">
      <c r="A7" s="3" t="s">
        <v>2430</v>
      </c>
      <c r="B7" s="4">
        <v>60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3:C11"/>
  <sheetViews>
    <sheetView workbookViewId="0">
      <selection activeCell="C16" sqref="C16"/>
    </sheetView>
  </sheetViews>
  <sheetFormatPr defaultRowHeight="15" x14ac:dyDescent="0.25"/>
  <cols>
    <col min="1" max="1" width="16.85546875" bestFit="1" customWidth="1"/>
    <col min="2" max="2" width="27.85546875" bestFit="1" customWidth="1"/>
    <col min="3" max="3" width="24.85546875" bestFit="1" customWidth="1"/>
  </cols>
  <sheetData>
    <row r="3" spans="1:3" x14ac:dyDescent="0.25">
      <c r="A3" s="2" t="s">
        <v>2429</v>
      </c>
      <c r="B3" t="s">
        <v>2434</v>
      </c>
      <c r="C3" t="s">
        <v>2435</v>
      </c>
    </row>
    <row r="4" spans="1:3" x14ac:dyDescent="0.25">
      <c r="A4" s="3" t="s">
        <v>81</v>
      </c>
      <c r="B4" s="6">
        <v>3.8333333333333335</v>
      </c>
      <c r="C4" s="6">
        <v>3.5363507109004737</v>
      </c>
    </row>
    <row r="5" spans="1:3" x14ac:dyDescent="0.25">
      <c r="A5" s="3" t="s">
        <v>178</v>
      </c>
      <c r="B5" s="6">
        <v>3.9333333333333331</v>
      </c>
      <c r="C5" s="6">
        <v>3.8959627329192545</v>
      </c>
    </row>
    <row r="6" spans="1:3" x14ac:dyDescent="0.25">
      <c r="A6" s="3" t="s">
        <v>64</v>
      </c>
      <c r="B6" s="6">
        <v>3.7916666666666665</v>
      </c>
      <c r="C6" s="6">
        <v>4.9503968253968251</v>
      </c>
    </row>
    <row r="7" spans="1:3" x14ac:dyDescent="0.25">
      <c r="A7" s="3" t="s">
        <v>114</v>
      </c>
      <c r="B7" s="6">
        <v>3.5925925925925926</v>
      </c>
      <c r="C7" s="6">
        <v>4.8202463054187188</v>
      </c>
    </row>
    <row r="8" spans="1:3" x14ac:dyDescent="0.25">
      <c r="A8" s="3" t="s">
        <v>75</v>
      </c>
      <c r="B8" s="6">
        <v>3.5641025641025643</v>
      </c>
      <c r="C8" s="6">
        <v>5.3426023391812869</v>
      </c>
    </row>
    <row r="9" spans="1:3" x14ac:dyDescent="0.25">
      <c r="A9" s="3" t="s">
        <v>91</v>
      </c>
      <c r="B9" s="6">
        <v>3.8095238095238093</v>
      </c>
      <c r="C9" s="6">
        <v>5.3366533864541834</v>
      </c>
    </row>
    <row r="10" spans="1:3" x14ac:dyDescent="0.25">
      <c r="A10" s="3" t="s">
        <v>97</v>
      </c>
      <c r="B10" s="6">
        <v>3.6388888888888888</v>
      </c>
      <c r="C10" s="6">
        <v>4.5055437665782492</v>
      </c>
    </row>
    <row r="11" spans="1:3" x14ac:dyDescent="0.25">
      <c r="A11" s="3" t="s">
        <v>2430</v>
      </c>
      <c r="B11" s="6">
        <v>3.7</v>
      </c>
      <c r="C11" s="6">
        <v>4.71045631608236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3:D11"/>
  <sheetViews>
    <sheetView topLeftCell="A2" zoomScale="102" workbookViewId="0">
      <selection activeCell="C16" sqref="C16"/>
    </sheetView>
  </sheetViews>
  <sheetFormatPr defaultRowHeight="15" x14ac:dyDescent="0.25"/>
  <cols>
    <col min="1" max="1" width="16.85546875" bestFit="1" customWidth="1"/>
    <col min="2" max="2" width="26.85546875" bestFit="1" customWidth="1"/>
    <col min="3" max="3" width="25" bestFit="1" customWidth="1"/>
    <col min="4" max="4" width="32.7109375" bestFit="1" customWidth="1"/>
  </cols>
  <sheetData>
    <row r="3" spans="1:4" x14ac:dyDescent="0.25">
      <c r="A3" s="2" t="s">
        <v>2429</v>
      </c>
      <c r="B3" t="s">
        <v>2431</v>
      </c>
      <c r="C3" t="s">
        <v>2432</v>
      </c>
      <c r="D3" t="s">
        <v>2433</v>
      </c>
    </row>
    <row r="4" spans="1:4" x14ac:dyDescent="0.25">
      <c r="A4" s="3" t="s">
        <v>81</v>
      </c>
      <c r="B4" s="6">
        <v>3.1111111111111112</v>
      </c>
      <c r="C4" s="6">
        <v>2.9444444444444446</v>
      </c>
      <c r="D4" s="6">
        <v>2.7222222222222223</v>
      </c>
    </row>
    <row r="5" spans="1:4" x14ac:dyDescent="0.25">
      <c r="A5" s="3" t="s">
        <v>178</v>
      </c>
      <c r="B5" s="6">
        <v>2.8</v>
      </c>
      <c r="C5" s="6">
        <v>3.0666666666666669</v>
      </c>
      <c r="D5" s="6">
        <v>3.0666666666666669</v>
      </c>
    </row>
    <row r="6" spans="1:4" x14ac:dyDescent="0.25">
      <c r="A6" s="3" t="s">
        <v>64</v>
      </c>
      <c r="B6" s="6">
        <v>2.7916666666666665</v>
      </c>
      <c r="C6" s="6">
        <v>2.8333333333333335</v>
      </c>
      <c r="D6" s="6">
        <v>2.5833333333333335</v>
      </c>
    </row>
    <row r="7" spans="1:4" x14ac:dyDescent="0.25">
      <c r="A7" s="3" t="s">
        <v>114</v>
      </c>
      <c r="B7" s="6">
        <v>2.7037037037037037</v>
      </c>
      <c r="C7" s="6">
        <v>3.0370370370370372</v>
      </c>
      <c r="D7" s="6">
        <v>2.2222222222222223</v>
      </c>
    </row>
    <row r="8" spans="1:4" x14ac:dyDescent="0.25">
      <c r="A8" s="3" t="s">
        <v>75</v>
      </c>
      <c r="B8" s="6">
        <v>2.3333333333333335</v>
      </c>
      <c r="C8" s="6">
        <v>2.7692307692307692</v>
      </c>
      <c r="D8" s="6">
        <v>2.4615384615384617</v>
      </c>
    </row>
    <row r="9" spans="1:4" x14ac:dyDescent="0.25">
      <c r="A9" s="3" t="s">
        <v>91</v>
      </c>
      <c r="B9" s="6">
        <v>2.8571428571428572</v>
      </c>
      <c r="C9" s="6">
        <v>3.1428571428571428</v>
      </c>
      <c r="D9" s="6">
        <v>2.6666666666666665</v>
      </c>
    </row>
    <row r="10" spans="1:4" x14ac:dyDescent="0.25">
      <c r="A10" s="3" t="s">
        <v>97</v>
      </c>
      <c r="B10" s="6">
        <v>2.5833333333333335</v>
      </c>
      <c r="C10" s="6">
        <v>2.8055555555555554</v>
      </c>
      <c r="D10" s="6">
        <v>2.5277777777777777</v>
      </c>
    </row>
    <row r="11" spans="1:4" x14ac:dyDescent="0.25">
      <c r="A11" s="3" t="s">
        <v>2430</v>
      </c>
      <c r="B11" s="6">
        <v>2.6777777777777776</v>
      </c>
      <c r="C11" s="6">
        <v>2.911111111111111</v>
      </c>
      <c r="D11" s="6">
        <v>2.5555555555555554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3:G11"/>
  <sheetViews>
    <sheetView workbookViewId="0">
      <selection activeCell="D16" sqref="D16"/>
    </sheetView>
  </sheetViews>
  <sheetFormatPr defaultRowHeight="15" x14ac:dyDescent="0.25"/>
  <cols>
    <col min="1" max="1" width="16.85546875" bestFit="1" customWidth="1"/>
    <col min="2" max="2" width="15" bestFit="1" customWidth="1"/>
    <col min="3" max="3" width="16.7109375" bestFit="1" customWidth="1"/>
    <col min="4" max="4" width="17.7109375" bestFit="1" customWidth="1"/>
  </cols>
  <sheetData>
    <row r="3" spans="1:7" x14ac:dyDescent="0.25">
      <c r="A3" s="2" t="s">
        <v>53</v>
      </c>
      <c r="B3" t="s">
        <v>2437</v>
      </c>
      <c r="C3" t="s">
        <v>2438</v>
      </c>
      <c r="D3" t="s">
        <v>2439</v>
      </c>
    </row>
    <row r="4" spans="1:7" x14ac:dyDescent="0.25">
      <c r="A4" s="3" t="s">
        <v>81</v>
      </c>
      <c r="B4" s="7"/>
      <c r="C4" s="5"/>
      <c r="D4" s="5">
        <v>9.4786729857819907</v>
      </c>
    </row>
    <row r="5" spans="1:7" x14ac:dyDescent="0.25">
      <c r="A5" s="3" t="s">
        <v>178</v>
      </c>
      <c r="B5" s="7"/>
      <c r="C5" s="5"/>
      <c r="D5" s="5">
        <v>10.559006211180124</v>
      </c>
    </row>
    <row r="6" spans="1:7" x14ac:dyDescent="0.25">
      <c r="A6" s="3" t="s">
        <v>64</v>
      </c>
      <c r="B6" s="7">
        <v>1</v>
      </c>
      <c r="C6" s="5">
        <v>0.3968253968253968</v>
      </c>
      <c r="D6" s="5">
        <v>5.9523809523809517</v>
      </c>
    </row>
    <row r="7" spans="1:7" x14ac:dyDescent="0.25">
      <c r="A7" s="3" t="s">
        <v>114</v>
      </c>
      <c r="B7" s="7">
        <v>1</v>
      </c>
      <c r="C7" s="5">
        <v>0.49261083743842365</v>
      </c>
      <c r="D7" s="5">
        <v>2.4630541871921183</v>
      </c>
      <c r="G7" t="s">
        <v>2440</v>
      </c>
    </row>
    <row r="8" spans="1:7" x14ac:dyDescent="0.25">
      <c r="A8" s="3" t="s">
        <v>75</v>
      </c>
      <c r="B8" s="7">
        <v>1</v>
      </c>
      <c r="C8" s="5">
        <v>0.29239766081871343</v>
      </c>
      <c r="D8" s="5">
        <v>8.7719298245614024</v>
      </c>
    </row>
    <row r="9" spans="1:7" x14ac:dyDescent="0.25">
      <c r="A9" s="3" t="s">
        <v>91</v>
      </c>
      <c r="B9" s="7"/>
      <c r="C9" s="5"/>
      <c r="D9" s="5">
        <v>4.7808764940239046</v>
      </c>
    </row>
    <row r="10" spans="1:7" x14ac:dyDescent="0.25">
      <c r="A10" s="3" t="s">
        <v>97</v>
      </c>
      <c r="B10" s="7"/>
      <c r="C10" s="5"/>
      <c r="D10" s="5">
        <v>11.936339522546419</v>
      </c>
    </row>
    <row r="11" spans="1:7" x14ac:dyDescent="0.25">
      <c r="A11" s="3" t="s">
        <v>2430</v>
      </c>
      <c r="B11" s="7">
        <v>3</v>
      </c>
      <c r="C11" s="5">
        <v>0.1669449081803005</v>
      </c>
      <c r="D11" s="5">
        <v>8.013355592654424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2"/>
  <sheetViews>
    <sheetView showGridLines="0" tabSelected="1" zoomScaleNormal="100" workbookViewId="0">
      <selection sqref="A1:U2"/>
    </sheetView>
  </sheetViews>
  <sheetFormatPr defaultRowHeight="15" x14ac:dyDescent="0.25"/>
  <sheetData>
    <row r="1" spans="1:21" x14ac:dyDescent="0.25">
      <c r="A1" s="8" t="s">
        <v>2441</v>
      </c>
      <c r="B1" s="8"/>
      <c r="C1" s="8"/>
      <c r="D1" s="8"/>
      <c r="E1" s="8"/>
      <c r="F1" s="8"/>
      <c r="G1" s="8"/>
      <c r="H1" s="8"/>
      <c r="I1" s="8"/>
      <c r="J1" s="8"/>
      <c r="K1" s="8"/>
      <c r="L1" s="8"/>
      <c r="M1" s="8"/>
      <c r="N1" s="8"/>
      <c r="O1" s="8"/>
      <c r="P1" s="8"/>
      <c r="Q1" s="8"/>
      <c r="R1" s="8"/>
      <c r="S1" s="8"/>
      <c r="T1" s="8"/>
      <c r="U1" s="8"/>
    </row>
    <row r="2" spans="1:21" x14ac:dyDescent="0.25">
      <c r="A2" s="8"/>
      <c r="B2" s="8"/>
      <c r="C2" s="8"/>
      <c r="D2" s="8"/>
      <c r="E2" s="8"/>
      <c r="F2" s="8"/>
      <c r="G2" s="8"/>
      <c r="H2" s="8"/>
      <c r="I2" s="8"/>
      <c r="J2" s="8"/>
      <c r="K2" s="8"/>
      <c r="L2" s="8"/>
      <c r="M2" s="8"/>
      <c r="N2" s="8"/>
      <c r="O2" s="8"/>
      <c r="P2" s="8"/>
      <c r="Q2" s="8"/>
      <c r="R2" s="8"/>
      <c r="S2" s="8"/>
      <c r="T2" s="8"/>
      <c r="U2" s="8"/>
    </row>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31162E4D-DB71-4B24-AB80-C011289427D8}">
  <ds:schemaRefs>
    <ds:schemaRef ds:uri="http://schemas.microsoft.com/DataMashup"/>
  </ds:schemaRefs>
</ds:datastoreItem>
</file>

<file path=customXml/itemProps2.xml><?xml version="1.0" encoding="utf-8"?>
<ds:datastoreItem xmlns:ds="http://schemas.openxmlformats.org/officeDocument/2006/customXml" ds:itemID="{424F5F19-59B3-4FF7-A643-18D28771499B}">
  <ds:schemaRefs/>
</ds:datastoreItem>
</file>

<file path=customXml/itemProps3.xml><?xml version="1.0" encoding="utf-8"?>
<ds:datastoreItem xmlns:ds="http://schemas.openxmlformats.org/officeDocument/2006/customXml" ds:itemID="{C5C43894-5394-4F7B-97B8-72240AE7BBC6}">
  <ds:schemaRefs/>
</ds:datastoreItem>
</file>

<file path=customXml/itemProps4.xml><?xml version="1.0" encoding="utf-8"?>
<ds:datastoreItem xmlns:ds="http://schemas.openxmlformats.org/officeDocument/2006/customXml" ds:itemID="{9296BEE2-B6BF-4BE0-BBB2-D5A6DEE19240}">
  <ds:schemaRefs/>
</ds:datastoreItem>
</file>

<file path=customXml/itemProps5.xml><?xml version="1.0" encoding="utf-8"?>
<ds:datastoreItem xmlns:ds="http://schemas.openxmlformats.org/officeDocument/2006/customXml" ds:itemID="{07DBC09F-CF42-4C2E-B72E-03BCE5C88588}">
  <ds:schemaRefs/>
</ds:datastoreItem>
</file>

<file path=customXml/itemProps6.xml><?xml version="1.0" encoding="utf-8"?>
<ds:datastoreItem xmlns:ds="http://schemas.openxmlformats.org/officeDocument/2006/customXml" ds:itemID="{DE4574EE-B164-4F6F-B2BF-7FFB1B147A8F}">
  <ds:schemaRefs/>
</ds:datastoreItem>
</file>

<file path=customXml/itemProps7.xml><?xml version="1.0" encoding="utf-8"?>
<ds:datastoreItem xmlns:ds="http://schemas.openxmlformats.org/officeDocument/2006/customXml" ds:itemID="{7104E11C-E0AD-434E-9A1A-29C98DC980D2}">
  <ds:schemaRefs/>
</ds:datastoreItem>
</file>

<file path=customXml/itemProps8.xml><?xml version="1.0" encoding="utf-8"?>
<ds:datastoreItem xmlns:ds="http://schemas.openxmlformats.org/officeDocument/2006/customXml" ds:itemID="{DD3EB15F-1600-4915-ADAE-2D899563A377}">
  <ds:schemaRefs/>
</ds:datastoreItem>
</file>

<file path=customXml/itemProps9.xml><?xml version="1.0" encoding="utf-8"?>
<ds:datastoreItem xmlns:ds="http://schemas.openxmlformats.org/officeDocument/2006/customXml" ds:itemID="{3CD53B23-E7C5-4D0E-BE86-4F6F63037BE6}">
  <ds:schemaRefs/>
</ds:datastoreItem>
</file>

<file path=customXml/itemProps10.xml><?xml version="1.0" encoding="utf-8"?>
<ds:datastoreItem xmlns:ds="http://schemas.openxmlformats.org/officeDocument/2006/customXml" ds:itemID="{BDE6B995-72E0-4211-8E8C-2B81B462BC63}">
  <ds:schemaRefs/>
</ds:datastoreItem>
</file>

<file path=customXml/itemProps11.xml><?xml version="1.0" encoding="utf-8"?>
<ds:datastoreItem xmlns:ds="http://schemas.openxmlformats.org/officeDocument/2006/customXml" ds:itemID="{DA90F88D-9BA7-4E90-A0F4-F742D11B9E06}">
  <ds:schemaRefs/>
</ds:datastoreItem>
</file>

<file path=customXml/itemProps12.xml><?xml version="1.0" encoding="utf-8"?>
<ds:datastoreItem xmlns:ds="http://schemas.openxmlformats.org/officeDocument/2006/customXml" ds:itemID="{9DEFFE11-20C7-4A7D-8C17-8FEBC6A704DF}">
  <ds:schemaRefs/>
</ds:datastoreItem>
</file>

<file path=customXml/itemProps13.xml><?xml version="1.0" encoding="utf-8"?>
<ds:datastoreItem xmlns:ds="http://schemas.openxmlformats.org/officeDocument/2006/customXml" ds:itemID="{833B9B79-CF41-44A2-8D2E-76FB9FCC4053}">
  <ds:schemaRefs/>
</ds:datastoreItem>
</file>

<file path=customXml/itemProps14.xml><?xml version="1.0" encoding="utf-8"?>
<ds:datastoreItem xmlns:ds="http://schemas.openxmlformats.org/officeDocument/2006/customXml" ds:itemID="{9B93D518-623A-4E53-97A8-F9C2A10BE8C3}">
  <ds:schemaRefs/>
</ds:datastoreItem>
</file>

<file path=customXml/itemProps15.xml><?xml version="1.0" encoding="utf-8"?>
<ds:datastoreItem xmlns:ds="http://schemas.openxmlformats.org/officeDocument/2006/customXml" ds:itemID="{4DEB5142-6763-4A26-B407-35295735F73A}">
  <ds:schemaRefs/>
</ds:datastoreItem>
</file>

<file path=customXml/itemProps16.xml><?xml version="1.0" encoding="utf-8"?>
<ds:datastoreItem xmlns:ds="http://schemas.openxmlformats.org/officeDocument/2006/customXml" ds:itemID="{E0B18A28-8461-47DD-9ECD-3591A8521663}">
  <ds:schemaRefs/>
</ds:datastoreItem>
</file>

<file path=customXml/itemProps17.xml><?xml version="1.0" encoding="utf-8"?>
<ds:datastoreItem xmlns:ds="http://schemas.openxmlformats.org/officeDocument/2006/customXml" ds:itemID="{C42D2ED5-312D-44CD-9792-20F400E8B3A7}">
  <ds:schemaRefs/>
</ds:datastoreItem>
</file>

<file path=customXml/itemProps18.xml><?xml version="1.0" encoding="utf-8"?>
<ds:datastoreItem xmlns:ds="http://schemas.openxmlformats.org/officeDocument/2006/customXml" ds:itemID="{23AC6CBE-7515-401A-A37E-95FFD540E946}">
  <ds:schemaRefs/>
</ds:datastoreItem>
</file>

<file path=customXml/itemProps19.xml><?xml version="1.0" encoding="utf-8"?>
<ds:datastoreItem xmlns:ds="http://schemas.openxmlformats.org/officeDocument/2006/customXml" ds:itemID="{8A7F4AA0-99F7-46D0-A1E9-C08C7EF5BB01}">
  <ds:schemaRefs/>
</ds:datastoreItem>
</file>

<file path=customXml/itemProps20.xml><?xml version="1.0" encoding="utf-8"?>
<ds:datastoreItem xmlns:ds="http://schemas.openxmlformats.org/officeDocument/2006/customXml" ds:itemID="{9FA0C277-868B-4FD7-8E9C-92D0AB3A449B}">
  <ds:schemaRefs/>
</ds:datastoreItem>
</file>

<file path=customXml/itemProps21.xml><?xml version="1.0" encoding="utf-8"?>
<ds:datastoreItem xmlns:ds="http://schemas.openxmlformats.org/officeDocument/2006/customXml" ds:itemID="{02D8E825-B717-4B82-A8A2-C9F660B58CFC}">
  <ds:schemaRefs/>
</ds:datastoreItem>
</file>

<file path=customXml/itemProps22.xml><?xml version="1.0" encoding="utf-8"?>
<ds:datastoreItem xmlns:ds="http://schemas.openxmlformats.org/officeDocument/2006/customXml" ds:itemID="{4EA36637-9567-49BF-B151-3A3093F1A11C}">
  <ds:schemaRefs/>
</ds:datastoreItem>
</file>

<file path=customXml/itemProps23.xml><?xml version="1.0" encoding="utf-8"?>
<ds:datastoreItem xmlns:ds="http://schemas.openxmlformats.org/officeDocument/2006/customXml" ds:itemID="{7044EC9A-E2BC-4720-B8B6-70349024A558}">
  <ds:schemaRefs/>
</ds:datastoreItem>
</file>

<file path=customXml/itemProps24.xml><?xml version="1.0" encoding="utf-8"?>
<ds:datastoreItem xmlns:ds="http://schemas.openxmlformats.org/officeDocument/2006/customXml" ds:itemID="{0E1CA7D7-B07C-41C0-9790-8AE142E81161}">
  <ds:schemaRefs/>
</ds:datastoreItem>
</file>

<file path=customXml/itemProps25.xml><?xml version="1.0" encoding="utf-8"?>
<ds:datastoreItem xmlns:ds="http://schemas.openxmlformats.org/officeDocument/2006/customXml" ds:itemID="{EB744DB4-C135-42EE-9666-E2A452BCAEBF}">
  <ds:schemaRefs/>
</ds:datastoreItem>
</file>

<file path=customXml/itemProps26.xml><?xml version="1.0" encoding="utf-8"?>
<ds:datastoreItem xmlns:ds="http://schemas.openxmlformats.org/officeDocument/2006/customXml" ds:itemID="{9808B151-DFE4-4E27-AAD7-BA0EBD6D65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Fact_Attrition</vt:lpstr>
      <vt:lpstr>Dim_Satisfaction</vt:lpstr>
      <vt:lpstr>Dim_Performance</vt:lpstr>
      <vt:lpstr>Dim_Employee (1)</vt:lpstr>
      <vt:lpstr>Dim_Date (1)</vt:lpstr>
      <vt:lpstr>Pivot_Dept_Attrition</vt:lpstr>
      <vt:lpstr>Pivot_Gender_Attrition</vt:lpstr>
      <vt:lpstr>pivot_Avg_Perf_Years</vt:lpstr>
      <vt:lpstr>Pivot_Satisfaction</vt:lpstr>
      <vt:lpstr>Pivot_Dept_OT_Rate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2026-06-15T19:48:58Z</dcterms:modified>
</cp:coreProperties>
</file>