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HR_Attrition_Dataset/"/>
    </mc:Choice>
  </mc:AlternateContent>
  <xr:revisionPtr revIDLastSave="31" documentId="8_{A15DF60A-01BE-453B-92F1-53F3912642DF}" xr6:coauthVersionLast="47" xr6:coauthVersionMax="47" xr10:uidLastSave="{E7075D9E-0027-4B99-BEFB-2666E3AF2631}"/>
  <bookViews>
    <workbookView xWindow="-120" yWindow="-120" windowWidth="20730" windowHeight="11040" firstSheet="7" activeTab="10" xr2:uid="{A17C5757-095D-46CE-98E6-A06442B174DD}"/>
  </bookViews>
  <sheets>
    <sheet name="Fact_Attrition" sheetId="6" r:id="rId1"/>
    <sheet name="Dim_Satisfaction" sheetId="5" r:id="rId2"/>
    <sheet name="Dim_Performance" sheetId="4" r:id="rId3"/>
    <sheet name="Dim_Employee (1)" sheetId="3" r:id="rId4"/>
    <sheet name="Dim_Date (1)" sheetId="2" r:id="rId5"/>
    <sheet name="Pivot_Dept_Attrition" sheetId="27" r:id="rId6"/>
    <sheet name="Pivot_Gender_Attrition" sheetId="20" r:id="rId7"/>
    <sheet name="Pivot_Avg_Perf_Years" sheetId="13" r:id="rId8"/>
    <sheet name="Pivot_Avg_Employee_Experience" sheetId="15" r:id="rId9"/>
    <sheet name="Pivot_Dept_OT_Rate" sheetId="18" r:id="rId10"/>
    <sheet name="Dashboard" sheetId="19" r:id="rId11"/>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4" hidden="1">'Dim_Date (1)'!$A$1:$F$37</definedName>
    <definedName name="ExternalData_2" localSheetId="3" hidden="1">'Dim_Employee (1)'!$A$1:$L$61</definedName>
    <definedName name="ExternalData_3" localSheetId="2" hidden="1">Dim_Performance!$A$1:$F$181</definedName>
    <definedName name="ExternalData_4" localSheetId="1" hidden="1">Dim_Satisfaction!$A$1:$G$181</definedName>
    <definedName name="ExternalData_5" localSheetId="0" hidden="1">Fact_Attrition!$A$1:$J$1798</definedName>
    <definedName name="Slicer_Department">#N/A</definedName>
    <definedName name="Slicer_Tenure_Category">#N/A</definedName>
  </definedNames>
  <calcPr calcId="191029"/>
  <pivotCaches>
    <pivotCache cacheId="1154" r:id="rId12"/>
    <pivotCache cacheId="1157" r:id="rId13"/>
    <pivotCache cacheId="1160" r:id="rId14"/>
    <pivotCache cacheId="1163" r:id="rId15"/>
    <pivotCache cacheId="1166" r:id="rId16"/>
  </pivotCaches>
  <extLst>
    <ext xmlns:x14="http://schemas.microsoft.com/office/spreadsheetml/2009/9/main" uri="{876F7934-8845-4945-9796-88D515C7AA90}">
      <x14:pivotCaches>
        <pivotCache cacheId="1153" r:id="rId17"/>
      </x14:pivotCaches>
    </ex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alcChain.xml><?xml version="1.0" encoding="utf-8"?>
<calcChain xmlns="http://schemas.openxmlformats.org/spreadsheetml/2006/main">
  <c r="F5" i="15" l="1"/>
  <c r="F6" i="15"/>
  <c r="F7" i="15"/>
  <c r="F8" i="15"/>
  <c r="F9" i="15"/>
  <c r="F10" i="15"/>
  <c r="F11" i="15"/>
  <c r="F4"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<sst xmlns="http://schemas.openxmlformats.org/spreadsheetml/2006/main" count="12883" uniqueCount="2444">
  <si>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</si>
  <si>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</si>
  <si>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</si>
  <si>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</si>
  <si>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</si>
  <si>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</si>
  <si>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</si>
  <si>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</si>
  <si>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</si>
  <si>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</si>
  <si>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</si>
  <si>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</si>
  <si>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</si>
  <si>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</si>
  <si>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</si>
  <si>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</si>
  <si>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</si>
  <si>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</si>
  <si>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</si>
  <si>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</si>
  <si>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</si>
  <si>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</si>
  <si>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</si>
  <si>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</si>
  <si>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</si>
  <si>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</si>
  <si>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</si>
  <si>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</si>
  <si>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</si>
  <si>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</si>
  <si>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</si>
  <si>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</si>
  <si>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</si>
  <si>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</si>
  <si>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</si>
  <si>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</si>
  <si>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</si>
  <si>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</si>
  <si>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</si>
  <si>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</si>
  <si>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</si>
  <si>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</si>
  <si>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</si>
  <si>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</si>
  <si>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</si>
  <si>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</si>
  <si>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</si>
  <si>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</si>
  <si>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</si>
  <si>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</si>
  <si>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</si>
  <si>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</si>
  <si>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</si>
  <si>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</si>
  <si>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</si>
  <si>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</si>
  <si>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</si>
  <si>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</si>
  <si>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</si>
  <si>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</si>
  <si>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</si>
  <si>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</si>
  <si>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</si>
  <si>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</si>
  <si>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</si>
  <si>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</si>
  <si>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</si>
  <si>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</si>
  <si>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</si>
  <si>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</si>
  <si>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</si>
  <si>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</si>
  <si>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</si>
  <si>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</si>
  <si>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</si>
  <si>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</si>
  <si>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</si>
  <si>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</si>
  <si>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</si>
  <si>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</si>
  <si>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</si>
  <si>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</si>
  <si>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</si>
  <si>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</si>
  <si>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</si>
  <si>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</si>
  <si>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</si>
  <si>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</si>
  <si>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</si>
  <si>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</si>
  <si>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</si>
  <si>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</si>
  <si>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</si>
  <si>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</si>
  <si>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</si>
  <si>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</si>
  <si>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</si>
  <si>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</si>
  <si>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</si>
  <si>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</si>
  <si>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</si>
  <si>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</si>
  <si>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</si>
  <si>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</si>
  <si>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</si>
  <si>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</si>
  <si>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</si>
  <si>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</si>
  <si>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</si>
  <si>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</si>
  <si>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</si>
  <si>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</si>
  <si>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</si>
  <si>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</si>
  <si>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</si>
  <si>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</si>
  <si>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</si>
  <si>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</si>
  <si>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</si>
  <si>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</si>
  <si>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</si>
  <si>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</si>
  <si>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</si>
  <si>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</si>
  <si>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</si>
  <si>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</si>
  <si>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</si>
  <si>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</si>
  <si>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</si>
  <si>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</si>
  <si>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</si>
  <si>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</si>
  <si>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</si>
  <si>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</si>
  <si>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</si>
  <si>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</si>
  <si>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</si>
  <si>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</si>
  <si>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</si>
  <si>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</si>
  <si>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</si>
  <si>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</si>
  <si>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</si>
  <si>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</si>
  <si>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</si>
  <si>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</si>
  <si>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</si>
  <si>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</si>
  <si>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</si>
  <si>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</si>
  <si>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</si>
  <si>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</si>
  <si>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</si>
  <si>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</si>
  <si>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</si>
  <si>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</si>
  <si>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</si>
  <si>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</si>
  <si>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</si>
  <si>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</si>
  <si>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</si>
  <si>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</si>
  <si>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</si>
  <si>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</si>
  <si>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</si>
  <si>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</si>
  <si>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</si>
  <si>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</si>
  <si>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</si>
  <si>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</si>
  <si>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</si>
  <si>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</si>
  <si>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</si>
  <si>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</si>
  <si>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</si>
  <si>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</si>
  <si>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</si>
  <si>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</si>
  <si>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</si>
  <si>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</si>
  <si>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</si>
  <si>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</si>
  <si>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</si>
  <si>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</si>
  <si>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</si>
  <si>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</si>
  <si>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</si>
  <si>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</si>
  <si>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</si>
  <si>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</si>
  <si>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</si>
  <si>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</si>
  <si>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</si>
  <si>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</si>
  <si>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</si>
  <si>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</si>
  <si>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</si>
  <si>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</si>
  <si>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</si>
  <si>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</si>
  <si>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</si>
  <si>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</si>
  <si>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</si>
  <si>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</si>
  <si>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</si>
  <si>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</si>
  <si>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</si>
  <si>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</si>
  <si>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</si>
  <si>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</si>
  <si>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</si>
  <si>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</si>
  <si>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</si>
  <si>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</si>
  <si>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</si>
  <si>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</si>
  <si>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</si>
  <si>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</si>
  <si>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</si>
  <si>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</si>
  <si>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</si>
  <si>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</si>
  <si>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</si>
  <si>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</si>
  <si>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</si>
  <si>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</si>
  <si>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</si>
  <si>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</si>
  <si>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</si>
  <si>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</si>
  <si>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</si>
  <si>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</si>
  <si>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</si>
  <si>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</si>
  <si>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</si>
  <si>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</si>
  <si>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</si>
  <si>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</si>
  <si>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</si>
  <si>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</si>
  <si>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</si>
  <si>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</si>
  <si>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</si>
  <si>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</si>
  <si>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</si>
  <si>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</si>
  <si>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</si>
  <si>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</si>
  <si>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</si>
  <si>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</si>
  <si>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</si>
  <si>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</si>
  <si>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</si>
  <si>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</si>
  <si>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</si>
  <si>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</si>
  <si>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</si>
  <si>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</si>
  <si>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</si>
  <si>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</si>
  <si>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</si>
  <si>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</si>
  <si>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</si>
  <si>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</si>
  <si>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</si>
  <si>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</si>
  <si>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</si>
  <si>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</si>
  <si>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</si>
  <si>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</si>
  <si>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</si>
  <si>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</si>
  <si>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</si>
  <si>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</si>
  <si>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</si>
  <si>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</si>
  <si>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</si>
  <si>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</si>
  <si>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</si>
  <si>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</si>
  <si>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</si>
  <si>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</si>
  <si>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</si>
  <si>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</si>
  <si>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</si>
  <si>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</si>
  <si>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</si>
  <si>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</si>
  <si>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</si>
  <si>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</si>
  <si>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</si>
  <si>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</si>
  <si>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</si>
  <si>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</si>
  <si>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</si>
  <si>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</si>
  <si>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</si>
  <si>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</si>
  <si>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</si>
  <si>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</si>
  <si>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</si>
  <si>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</si>
  <si>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</si>
  <si>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</si>
  <si>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</si>
  <si>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</si>
  <si>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</si>
  <si>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</si>
  <si>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</si>
  <si>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</si>
  <si>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</si>
  <si>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</si>
  <si>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</si>
  <si>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</si>
  <si>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</si>
  <si>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</si>
  <si>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</si>
  <si>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</si>
  <si>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</si>
  <si>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</si>
  <si>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</si>
  <si>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</si>
  <si>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</si>
  <si>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</si>
  <si>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</si>
  <si>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</si>
  <si>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</si>
  <si>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</si>
  <si>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</si>
  <si>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</si>
  <si>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</si>
  <si>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</si>
  <si>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</si>
  <si>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</si>
  <si>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</si>
  <si>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</si>
  <si>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</si>
  <si>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</si>
  <si>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</si>
  <si>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</si>
  <si>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</si>
  <si>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</si>
  <si>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</si>
  <si>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</si>
  <si>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</si>
  <si>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</si>
  <si>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</si>
  <si>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</si>
  <si>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</si>
  <si>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</si>
  <si>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</si>
  <si>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</si>
  <si>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</si>
  <si>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</si>
  <si>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</si>
  <si>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</si>
  <si>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</si>
  <si>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</si>
  <si>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</si>
  <si>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</si>
  <si>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</si>
  <si>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</si>
  <si>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</si>
  <si>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</si>
  <si>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</si>
  <si>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</si>
  <si>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</si>
  <si>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</si>
  <si>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</si>
  <si>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</si>
  <si>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</si>
  <si>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</si>
  <si>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</si>
  <si>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</si>
  <si>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</si>
  <si>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</si>
  <si>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</si>
  <si>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</si>
  <si>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</si>
  <si>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</si>
  <si>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</si>
  <si>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</si>
  <si>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</si>
  <si>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</si>
  <si>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</si>
  <si>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</si>
  <si>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</si>
  <si>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</si>
  <si>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</si>
  <si>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</si>
  <si>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</si>
  <si>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</si>
  <si>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</si>
  <si>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</si>
  <si>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</si>
  <si>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</si>
  <si>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</si>
  <si>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</si>
  <si>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</si>
  <si>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</si>
  <si>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</si>
  <si>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</si>
  <si>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</si>
  <si>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</si>
  <si>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</si>
  <si>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</si>
  <si>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</si>
  <si>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</si>
  <si>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</si>
  <si>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</si>
  <si>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</si>
  <si>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</si>
  <si>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</si>
  <si>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</si>
  <si>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</si>
  <si>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</si>
  <si>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</si>
  <si>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</si>
  <si>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</si>
  <si>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</si>
  <si>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</si>
  <si>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</si>
  <si>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</si>
  <si>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</si>
  <si>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</si>
  <si>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</si>
  <si>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</si>
  <si>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</si>
  <si>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</si>
  <si>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</si>
  <si>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</si>
  <si>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</si>
  <si>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</si>
  <si>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</si>
  <si>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</si>
  <si>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</si>
  <si>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</si>
  <si>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</si>
  <si>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</si>
  <si>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</si>
  <si>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</si>
  <si>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</si>
  <si>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</si>
  <si>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</si>
  <si>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</si>
  <si>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</si>
  <si>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</si>
  <si>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</si>
  <si>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</si>
  <si>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</si>
  <si>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</si>
  <si>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</si>
  <si>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</si>
  <si>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</si>
  <si>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</si>
  <si>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</si>
  <si>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</si>
  <si>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</si>
  <si>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</si>
  <si>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</si>
  <si>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</si>
  <si>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</si>
  <si>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</si>
  <si>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</si>
  <si>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</si>
  <si>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</si>
  <si>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</si>
  <si>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</si>
  <si>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</si>
  <si>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</si>
  <si>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</si>
  <si>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</si>
  <si>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</si>
  <si>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</si>
  <si>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</si>
  <si>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</si>
  <si>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</si>
  <si>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</si>
  <si>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</si>
  <si>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</si>
  <si>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</si>
  <si>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</si>
  <si>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</si>
  <si>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</si>
  <si>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</si>
  <si>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</si>
  <si>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</si>
  <si>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</si>
  <si>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</si>
  <si>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</si>
  <si>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</si>
  <si>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</si>
  <si>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</si>
  <si>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</si>
  <si>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</si>
  <si>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</si>
  <si>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</si>
  <si>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</si>
  <si>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</si>
  <si>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</si>
  <si>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</si>
  <si>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</si>
  <si>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</si>
  <si>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</si>
  <si>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</si>
  <si>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</si>
  <si>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</si>
  <si>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</si>
  <si>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</si>
  <si>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</si>
  <si>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</si>
  <si>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</si>
  <si>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</si>
  <si>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</si>
  <si>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</si>
  <si>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</si>
  <si>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</si>
  <si>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</si>
  <si>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</si>
  <si>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</si>
  <si>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</si>
  <si>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</si>
  <si>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</si>
  <si>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</si>
  <si>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</si>
  <si>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</si>
  <si>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</si>
  <si>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</si>
  <si>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</si>
  <si>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</si>
  <si>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</si>
  <si>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</si>
  <si>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</si>
  <si>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</si>
  <si>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</si>
  <si>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</si>
  <si>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</si>
  <si>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</si>
  <si>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</si>
  <si>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</si>
  <si>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</si>
  <si>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</si>
  <si>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</si>
  <si>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</si>
  <si>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</si>
  <si>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</si>
  <si>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</si>
  <si>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</si>
  <si>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</si>
  <si>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</si>
  <si>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</si>
  <si>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</si>
  <si>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</si>
  <si>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</si>
  <si>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</si>
  <si>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</si>
  <si>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</si>
  <si>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</si>
  <si>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</si>
  <si>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</si>
  <si>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</si>
  <si>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</si>
  <si>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</si>
  <si>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</si>
  <si>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</si>
  <si>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</si>
  <si>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</si>
  <si>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</si>
  <si>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</si>
  <si>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</si>
  <si>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</si>
  <si>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</si>
  <si>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</si>
  <si>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</si>
  <si>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</si>
  <si>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</si>
  <si>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</si>
  <si>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</si>
  <si>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</si>
  <si>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</si>
  <si>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</si>
  <si>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</si>
  <si>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</si>
  <si>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</si>
  <si>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</si>
  <si>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</si>
  <si>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</si>
  <si>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</si>
  <si>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</si>
  <si>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</si>
  <si>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</si>
  <si>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</si>
  <si>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</si>
  <si>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</si>
  <si>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</si>
  <si>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</si>
  <si>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</si>
  <si>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</si>
  <si>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</si>
  <si>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</si>
  <si>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</si>
  <si>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</si>
  <si>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</si>
  <si>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</si>
  <si>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</si>
  <si>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</si>
  <si>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</si>
  <si>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</si>
  <si>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</si>
  <si>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</si>
  <si>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</si>
  <si>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</si>
  <si>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</si>
  <si>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</si>
  <si>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</si>
  <si>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</si>
  <si>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</si>
  <si>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</si>
  <si>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</si>
  <si>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</si>
  <si>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</si>
  <si>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</si>
  <si>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</si>
  <si>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</si>
  <si>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</si>
  <si>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</si>
  <si>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</si>
  <si>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</si>
  <si>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</si>
  <si>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</si>
  <si>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</si>
  <si>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</si>
  <si>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</si>
  <si>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</si>
  <si>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</si>
  <si>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</si>
  <si>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</si>
  <si>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</si>
  <si>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</si>
  <si>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</si>
  <si>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</si>
  <si>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</si>
  <si>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</si>
  <si>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</si>
  <si>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</si>
  <si>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</si>
  <si>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</si>
  <si>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</si>
  <si>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</si>
  <si>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</si>
  <si>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</si>
  <si>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</si>
  <si>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</si>
  <si>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</si>
  <si>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</si>
  <si>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</si>
  <si>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</si>
  <si>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</si>
  <si>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</si>
  <si>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</si>
  <si>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</si>
  <si>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</si>
  <si>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</si>
  <si>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</si>
  <si>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</si>
  <si>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</si>
  <si>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</si>
  <si>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</si>
  <si>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</si>
  <si>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</si>
  <si>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</si>
  <si>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</si>
  <si>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</si>
  <si>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</si>
  <si>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</si>
  <si>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</si>
  <si>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</si>
  <si>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</si>
  <si>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</si>
  <si>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</si>
  <si>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</si>
  <si>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</si>
  <si>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</si>
  <si>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</si>
  <si>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</si>
  <si>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</si>
  <si>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</si>
  <si>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</si>
  <si>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</si>
  <si>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</si>
  <si>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</si>
  <si>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</si>
  <si>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</si>
  <si>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</si>
  <si>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</si>
  <si>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</si>
  <si>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</si>
  <si>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</si>
  <si>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</si>
  <si>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</si>
  <si>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</si>
  <si>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</si>
  <si>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</si>
  <si>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</si>
  <si>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</si>
  <si>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</si>
  <si>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</si>
  <si>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</si>
  <si>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</si>
  <si>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</si>
  <si>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</si>
  <si>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</si>
  <si>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</si>
  <si>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</si>
  <si>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</si>
  <si>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</si>
  <si>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</si>
  <si>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</si>
  <si>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</si>
  <si>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</si>
  <si>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</si>
  <si>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</si>
  <si>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</si>
  <si>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</si>
  <si>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</si>
  <si>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</si>
  <si>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</si>
  <si>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</si>
  <si>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</si>
  <si>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</si>
  <si>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</si>
  <si>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</si>
  <si>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</si>
  <si>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</si>
  <si>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</si>
  <si>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</si>
  <si>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</si>
  <si>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</si>
  <si>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</si>
  <si>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</si>
  <si>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</si>
  <si>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</si>
  <si>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</si>
  <si>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</si>
  <si>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</si>
  <si>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</si>
  <si>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</si>
  <si>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</si>
  <si>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</si>
  <si>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</si>
  <si>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</si>
  <si>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</si>
  <si>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</si>
  <si>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</si>
  <si>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</si>
  <si>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</si>
  <si>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</si>
  <si>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</si>
  <si>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</si>
  <si>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</si>
  <si>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</si>
  <si>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</si>
  <si>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</si>
  <si>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</si>
  <si>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</si>
  <si>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</si>
  <si>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</si>
  <si>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</si>
  <si>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</si>
  <si>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</si>
  <si>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</si>
  <si>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</si>
  <si>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</si>
  <si>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</si>
  <si>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</si>
  <si>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</si>
  <si>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</si>
  <si>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</si>
  <si>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</si>
  <si>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</si>
  <si>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</si>
  <si>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</si>
  <si>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</si>
  <si>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</si>
  <si>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</si>
  <si>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</si>
  <si>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</si>
  <si>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</si>
  <si>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</si>
  <si>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</si>
  <si>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</si>
  <si>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</si>
  <si>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</si>
  <si>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</si>
  <si>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</si>
  <si>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</si>
  <si>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</si>
  <si>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</si>
  <si>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</si>
  <si>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</si>
  <si>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</si>
  <si>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</si>
  <si>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</si>
  <si>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</si>
  <si>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</si>
  <si>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</si>
  <si>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</si>
  <si>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</si>
  <si>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</si>
  <si>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</si>
  <si>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</si>
  <si>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</si>
  <si>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</si>
  <si>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</si>
  <si>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</si>
  <si>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</si>
  <si>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</si>
  <si>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</si>
  <si>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</si>
  <si>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</si>
  <si>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</si>
  <si>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</si>
  <si>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</si>
  <si>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</si>
  <si>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</si>
  <si>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</si>
  <si>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</si>
  <si>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</si>
  <si>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</si>
  <si>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</si>
  <si>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</si>
  <si>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</si>
  <si>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</si>
  <si>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</si>
  <si>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</si>
  <si>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</si>
  <si>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</si>
  <si>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</si>
  <si>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</si>
  <si>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</si>
  <si>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</si>
  <si>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</si>
  <si>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</si>
  <si>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</si>
  <si>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</si>
  <si>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</si>
  <si>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</si>
  <si>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</si>
  <si>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</si>
  <si>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</si>
  <si>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</si>
  <si>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</si>
  <si>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</si>
  <si>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</si>
  <si>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</si>
  <si>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</si>
  <si>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</si>
  <si>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</si>
  <si>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</si>
  <si>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</si>
  <si>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</si>
  <si>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</si>
  <si>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</si>
  <si>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</si>
  <si>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</si>
  <si>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</si>
  <si>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</si>
  <si>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</si>
  <si>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</si>
  <si>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</si>
  <si>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</si>
  <si>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</si>
  <si>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</si>
  <si>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</si>
  <si>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</si>
  <si>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</si>
  <si>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</si>
  <si>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</si>
  <si>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</si>
  <si>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</si>
  <si>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</si>
  <si>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</si>
  <si>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</si>
  <si>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</si>
  <si>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</si>
  <si>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</si>
  <si>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</si>
  <si>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</si>
  <si>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</si>
  <si>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</si>
  <si>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</si>
  <si>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</si>
  <si>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</si>
  <si>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</si>
  <si>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</si>
  <si>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</si>
  <si>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</si>
  <si>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</si>
  <si>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</si>
  <si>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</si>
  <si>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</si>
  <si>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</si>
  <si>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</si>
  <si>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</si>
  <si>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</si>
  <si>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</si>
  <si>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</si>
  <si>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</si>
  <si>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</si>
  <si>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</si>
  <si>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</si>
  <si>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</si>
  <si>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</si>
  <si>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</si>
  <si>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</si>
  <si>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</si>
  <si>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</si>
  <si>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</si>
  <si>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</si>
  <si>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</si>
  <si>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</si>
  <si>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</si>
  <si>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</si>
  <si>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</si>
  <si>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</si>
  <si>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</si>
  <si>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</si>
  <si>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</si>
  <si>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</si>
  <si>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</si>
  <si>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</si>
  <si>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</si>
  <si>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</si>
  <si>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</si>
  <si>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</si>
  <si>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</si>
  <si>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</si>
  <si>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</si>
  <si>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</si>
  <si>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</si>
  <si>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</si>
  <si>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</si>
  <si>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</si>
  <si>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</si>
  <si>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</si>
  <si>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</si>
  <si>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</si>
  <si>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</si>
  <si>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</si>
  <si>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</si>
  <si>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</si>
  <si>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</si>
  <si>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</si>
  <si>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</si>
  <si>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</si>
  <si>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</si>
  <si>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</si>
  <si>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</si>
  <si>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</si>
  <si>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</si>
  <si>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</si>
  <si>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</si>
  <si>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</si>
  <si>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</si>
  <si>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</si>
  <si>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</si>
  <si>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</si>
  <si>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</si>
  <si>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</si>
  <si>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</si>
  <si>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</si>
  <si>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</si>
  <si>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</si>
  <si>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</si>
  <si>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</si>
  <si>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</si>
  <si>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</si>
  <si>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</si>
  <si>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</si>
  <si>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</si>
  <si>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</si>
  <si>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</si>
  <si>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</si>
  <si>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</si>
  <si>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</si>
  <si>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</si>
  <si>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</si>
  <si>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</si>
  <si>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</si>
  <si>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</si>
  <si>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</si>
  <si>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</si>
  <si>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</si>
  <si>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</si>
  <si>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</si>
  <si>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</si>
  <si>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</si>
  <si>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</si>
  <si>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</si>
  <si>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</si>
  <si>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</si>
  <si>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</si>
  <si>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</si>
  <si>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</si>
  <si>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</si>
  <si>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</si>
  <si>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</si>
  <si>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</si>
  <si>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</si>
  <si>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</si>
  <si>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</si>
  <si>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</si>
  <si>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</si>
  <si>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</si>
  <si>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</si>
  <si>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</si>
  <si>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</si>
  <si>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</si>
  <si>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</si>
  <si>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</si>
  <si>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</si>
  <si>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</si>
  <si>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</si>
  <si>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</si>
  <si>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</si>
  <si>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</si>
  <si>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</si>
  <si>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</si>
  <si>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</si>
  <si>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</si>
  <si>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</si>
  <si>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</si>
  <si>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</si>
  <si>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</si>
  <si>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</si>
  <si>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</si>
  <si>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</si>
  <si>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</si>
  <si>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</si>
  <si>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</si>
  <si>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</si>
  <si>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</si>
  <si>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</si>
  <si>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</si>
  <si>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</si>
  <si>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</si>
  <si>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</si>
  <si>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</si>
  <si>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</si>
  <si>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</si>
  <si>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</si>
  <si>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</si>
  <si>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</si>
  <si>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</si>
  <si>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</si>
  <si>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</si>
  <si>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</si>
  <si>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</si>
  <si>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</si>
  <si>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</si>
  <si>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</si>
  <si>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</si>
  <si>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</si>
  <si>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</si>
  <si>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</si>
  <si>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</si>
  <si>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</si>
  <si>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</si>
  <si>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</si>
  <si>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</si>
  <si>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</si>
  <si>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</si>
  <si>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</si>
  <si>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</si>
  <si>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</si>
  <si>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</si>
  <si>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</si>
  <si>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</si>
  <si>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</si>
  <si>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</si>
  <si>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</si>
  <si>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</si>
  <si>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</si>
  <si>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</si>
  <si>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</si>
  <si>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</si>
  <si>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</si>
  <si>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</si>
  <si>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</si>
  <si>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</si>
  <si>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</si>
  <si>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</si>
  <si>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</si>
  <si>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</si>
  <si>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</si>
  <si>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</si>
  <si>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</si>
  <si>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</si>
  <si>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</si>
  <si>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</si>
  <si>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</si>
  <si>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</si>
  <si>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</si>
  <si>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</si>
  <si>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</si>
  <si>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</si>
  <si>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</si>
  <si>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</si>
  <si>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</si>
  <si>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</si>
  <si>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</si>
  <si>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</si>
  <si>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</si>
  <si>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</si>
  <si>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</si>
  <si>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</si>
  <si>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</si>
  <si>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</si>
  <si>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</si>
  <si>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</si>
  <si>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</si>
  <si>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</si>
  <si>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</si>
  <si>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</si>
  <si>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</si>
  <si>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</si>
  <si>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</si>
  <si>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</si>
  <si>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</si>
  <si>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</si>
  <si>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</si>
  <si>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</si>
  <si>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</si>
  <si>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</si>
  <si>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</si>
  <si>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</si>
  <si>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</si>
  <si>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</si>
  <si>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</si>
  <si>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</si>
  <si>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</si>
  <si>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</si>
  <si>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</si>
  <si>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</si>
  <si>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</si>
  <si>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</si>
  <si>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</si>
  <si>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</si>
  <si>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</si>
  <si>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</si>
  <si>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</si>
  <si>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</si>
  <si>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</si>
  <si>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</si>
  <si>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</si>
  <si>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</si>
  <si>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</si>
  <si>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</si>
  <si>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</si>
  <si>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</si>
  <si>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</si>
  <si>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</si>
  <si>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</si>
  <si>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</si>
  <si>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</si>
  <si>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</si>
  <si>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</si>
  <si>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</si>
  <si>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</si>
  <si>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</si>
  <si>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</si>
  <si>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</si>
  <si>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</si>
  <si>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</si>
  <si>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</si>
  <si>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</si>
  <si>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</si>
  <si>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</si>
  <si>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</si>
  <si>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</si>
  <si>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</si>
  <si>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</si>
  <si>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</si>
  <si>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</si>
  <si>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</si>
  <si>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</si>
  <si>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</si>
  <si>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</si>
  <si>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</si>
  <si>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</si>
  <si>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</si>
  <si>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</si>
  <si>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</si>
  <si>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</si>
  <si>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</si>
  <si>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</si>
  <si>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</si>
  <si>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</si>
  <si>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</si>
  <si>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</si>
  <si>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</si>
  <si>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</si>
  <si>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</si>
  <si>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</si>
  <si>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</si>
  <si>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</si>
  <si>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</si>
  <si>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</si>
  <si>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</si>
  <si>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</si>
  <si>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</si>
  <si>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</si>
  <si>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</si>
  <si>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</si>
  <si>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</si>
  <si>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</si>
  <si>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</si>
  <si>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</si>
  <si>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</si>
  <si>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</si>
  <si>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</si>
  <si>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</si>
  <si>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</si>
  <si>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</si>
  <si>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</si>
  <si>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</si>
  <si>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</si>
  <si>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</si>
  <si>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</si>
  <si>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</si>
  <si>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</si>
  <si>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</si>
  <si>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</si>
  <si>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</si>
  <si>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</si>
  <si>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</si>
  <si>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</si>
  <si>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</si>
  <si>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</si>
  <si>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</si>
  <si>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</si>
  <si>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</si>
  <si>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</si>
  <si>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</si>
  <si>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</si>
  <si>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</si>
  <si>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</si>
  <si>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</si>
  <si>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</si>
  <si>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</si>
  <si>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</si>
  <si>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</si>
  <si>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</si>
  <si>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</si>
  <si>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</si>
  <si>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</si>
  <si>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</si>
  <si>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</si>
  <si>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</si>
  <si>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</si>
  <si>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</si>
  <si>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</si>
  <si>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</si>
  <si>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</si>
  <si>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</si>
  <si>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</si>
  <si>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</si>
  <si>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</si>
  <si>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</si>
  <si>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</si>
  <si>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</si>
  <si>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</si>
  <si>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</si>
  <si>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</si>
  <si>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</si>
  <si>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</si>
  <si>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</si>
  <si>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</si>
  <si>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</si>
  <si>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</si>
  <si>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</si>
  <si>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</si>
  <si>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</si>
  <si>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</si>
  <si>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</si>
  <si>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</si>
  <si>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</si>
  <si>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</si>
  <si>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</si>
  <si>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</si>
  <si>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</si>
  <si>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</si>
  <si>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</si>
  <si>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</si>
  <si>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</si>
  <si>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</si>
  <si>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</si>
  <si>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</si>
  <si>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</si>
  <si>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</si>
  <si>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</si>
  <si>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</si>
  <si>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</si>
  <si>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</si>
  <si>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</si>
  <si>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</si>
  <si>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</si>
  <si>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</si>
  <si>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</si>
  <si>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</si>
  <si>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</si>
  <si>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</si>
  <si>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</si>
  <si>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</si>
  <si>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</si>
  <si>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</si>
  <si>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</si>
  <si>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</si>
  <si>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</si>
  <si>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</si>
  <si>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</si>
  <si>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</si>
  <si>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</si>
  <si>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</si>
  <si>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</si>
  <si>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</si>
  <si>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</si>
  <si>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</si>
  <si>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</si>
  <si>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</si>
  <si>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</si>
  <si>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</si>
  <si>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</si>
  <si>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</si>
  <si>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</si>
  <si>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</si>
  <si>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</si>
  <si>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</si>
  <si>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</si>
  <si>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</si>
  <si>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</si>
  <si>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</si>
  <si>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</si>
  <si>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</si>
  <si>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</si>
  <si>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</si>
  <si>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</si>
  <si>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</si>
  <si>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</si>
  <si>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</si>
  <si>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</si>
  <si>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</si>
  <si>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</si>
  <si>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</si>
  <si>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</si>
  <si>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</si>
  <si>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</si>
  <si>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</si>
  <si>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</si>
  <si>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</si>
  <si>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</si>
  <si>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</si>
  <si>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</si>
  <si>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</si>
  <si>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</si>
  <si>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</si>
  <si>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</si>
  <si>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</si>
  <si>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</si>
  <si>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</si>
  <si>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</si>
  <si>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</si>
  <si>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</si>
  <si>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</si>
  <si>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</si>
  <si>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</si>
  <si>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</si>
  <si>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</si>
  <si>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</si>
  <si>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</si>
  <si>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</si>
  <si>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</si>
  <si>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</si>
  <si>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</si>
  <si>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</si>
  <si>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</si>
  <si>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</si>
  <si>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</si>
  <si>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</si>
  <si>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</si>
  <si>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</si>
  <si>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</si>
  <si>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</si>
  <si>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</si>
  <si>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</si>
  <si>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</si>
  <si>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</si>
  <si>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</si>
  <si>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</si>
  <si>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</si>
  <si>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</si>
  <si>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</si>
  <si>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</si>
  <si>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</si>
  <si>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</si>
  <si>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</si>
  <si>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</si>
  <si>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</si>
  <si>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</si>
  <si>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</si>
  <si>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</si>
  <si>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</si>
  <si>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</si>
  <si>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</si>
  <si>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</si>
  <si>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</si>
  <si>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</si>
  <si>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</si>
  <si>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</si>
  <si>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</si>
  <si>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</si>
  <si>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</si>
  <si>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</si>
  <si>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</si>
  <si>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</si>
  <si>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</si>
  <si>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</si>
  <si>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</si>
  <si>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</si>
  <si>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</si>
  <si>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</si>
  <si>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</si>
  <si>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</si>
  <si>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</si>
  <si>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</si>
  <si>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</si>
  <si>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</si>
  <si>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</si>
  <si>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</si>
  <si>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</si>
  <si>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</si>
  <si>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</si>
  <si>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</si>
  <si>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</si>
  <si>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</si>
  <si>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</si>
  <si>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</si>
  <si>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</si>
  <si>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</si>
  <si>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</si>
  <si>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</si>
  <si>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</si>
  <si>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</si>
  <si>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</si>
  <si>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</si>
  <si>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</si>
  <si>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</si>
  <si>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</si>
  <si>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</si>
  <si>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</si>
  <si>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</si>
  <si>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</si>
  <si>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</si>
  <si>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</si>
  <si>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</si>
  <si>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</si>
  <si>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</si>
  <si>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</si>
  <si>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</si>
  <si>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</si>
  <si>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</si>
  <si>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</si>
  <si>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</si>
  <si>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</si>
  <si>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</si>
  <si>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</si>
  <si>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</si>
  <si>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</si>
  <si>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</si>
  <si>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</si>
  <si>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</si>
  <si>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</si>
  <si>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</si>
  <si>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</si>
  <si>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</si>
  <si>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</si>
  <si>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</si>
  <si>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</si>
  <si>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</si>
  <si>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</si>
  <si>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</si>
  <si>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</si>
  <si>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</si>
  <si>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</si>
  <si>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</si>
  <si>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</si>
  <si>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</si>
  <si>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</si>
  <si>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</si>
  <si>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</si>
  <si>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</si>
  <si>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</si>
  <si>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</si>
  <si>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</si>
  <si>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</si>
  <si>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</si>
  <si>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</si>
  <si>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</si>
  <si>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</si>
  <si>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</si>
  <si>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</si>
  <si>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</si>
  <si>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</si>
  <si>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</si>
  <si>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</si>
  <si>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</si>
  <si>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</si>
  <si>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</si>
  <si>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</si>
  <si>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</si>
  <si>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</si>
  <si>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</si>
  <si>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</si>
  <si>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</si>
  <si>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</si>
  <si>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</si>
  <si>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</si>
  <si>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</si>
  <si>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</si>
  <si>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</si>
  <si>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</si>
  <si>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</si>
  <si>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</si>
  <si>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</si>
  <si>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</si>
  <si>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</si>
  <si>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</si>
  <si>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</si>
  <si>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</si>
  <si>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</si>
  <si>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</si>
  <si>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</si>
  <si>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</si>
  <si>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</si>
  <si>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</si>
  <si>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</si>
  <si>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</si>
  <si>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</si>
  <si>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</si>
  <si>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</si>
  <si>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</si>
  <si>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</si>
  <si>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</si>
  <si>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</si>
  <si>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</si>
  <si>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</si>
  <si>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</si>
  <si>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</si>
  <si>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</si>
  <si>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</si>
  <si>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</si>
  <si>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</si>
  <si>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</si>
  <si>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</si>
  <si>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</si>
  <si>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</si>
  <si>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</si>
  <si>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</si>
  <si>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</si>
  <si>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</si>
  <si>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</si>
  <si>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</si>
  <si>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</si>
  <si>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</si>
  <si>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</si>
  <si>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</si>
  <si>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</si>
  <si>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</si>
  <si>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</si>
  <si>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</si>
  <si>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</si>
  <si>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</si>
  <si>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</si>
  <si>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</si>
  <si>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</si>
  <si>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</si>
  <si>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</si>
  <si>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</si>
  <si>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</si>
  <si>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</si>
  <si>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</si>
  <si>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</si>
  <si>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</si>
  <si>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</si>
  <si>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</si>
  <si>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</si>
  <si>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</si>
  <si>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</si>
  <si>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</si>
  <si>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</si>
  <si>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</si>
  <si>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</si>
  <si>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</si>
  <si>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</si>
  <si>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</si>
  <si>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</si>
  <si>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</si>
  <si>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</si>
  <si>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</si>
  <si>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</si>
  <si>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</si>
  <si>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</si>
  <si>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</si>
  <si>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</si>
  <si>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</si>
  <si>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</si>
  <si>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</si>
  <si>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</si>
  <si>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</si>
  <si>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</si>
  <si>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</si>
  <si>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</si>
  <si>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</si>
  <si>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</si>
  <si>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</si>
  <si>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</si>
  <si>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</si>
  <si>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</si>
  <si>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</si>
  <si>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</si>
  <si>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</si>
  <si>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</si>
  <si>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</si>
  <si>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</si>
  <si>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</si>
  <si>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</si>
  <si>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</si>
  <si>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</si>
  <si>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</si>
  <si>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</si>
  <si>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</si>
  <si>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</si>
  <si>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</si>
  <si>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</si>
  <si>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</si>
  <si>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</si>
  <si>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</si>
  <si>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</si>
  <si>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</si>
  <si>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</si>
  <si>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</si>
  <si>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</si>
  <si>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</si>
  <si>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</si>
  <si>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</si>
  <si>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</si>
  <si>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</si>
  <si>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</si>
  <si>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</si>
  <si>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</si>
  <si>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</si>
  <si>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</si>
  <si>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</si>
  <si>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</si>
  <si>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</si>
  <si>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</si>
  <si>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</si>
  <si>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</si>
  <si>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</si>
  <si>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</si>
  <si>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</si>
  <si>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</si>
  <si>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</si>
  <si>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</si>
  <si>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</si>
  <si>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</si>
  <si>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</si>
  <si>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</si>
  <si>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</si>
  <si>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</si>
  <si>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</si>
  <si>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</si>
  <si>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</si>
  <si>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</si>
  <si>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</si>
  <si>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</si>
  <si>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</si>
  <si>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</si>
  <si>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</si>
  <si>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</si>
  <si>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</si>
  <si>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</si>
  <si>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</si>
  <si>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</si>
  <si>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</si>
  <si>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</si>
  <si>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</si>
  <si>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</si>
  <si>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</si>
  <si>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</si>
  <si>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</si>
  <si>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</si>
  <si>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</si>
  <si>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</si>
  <si>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</si>
  <si>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</si>
  <si>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</si>
  <si>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</si>
  <si>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</si>
  <si>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</si>
  <si>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</si>
  <si>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</si>
  <si>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</si>
  <si>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</si>
  <si>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</si>
  <si>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</si>
  <si>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</si>
  <si>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</si>
  <si>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</si>
  <si>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</si>
  <si>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</si>
  <si>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</si>
  <si>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</si>
  <si>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</si>
  <si>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</si>
  <si>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</si>
  <si>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</si>
  <si>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</si>
  <si>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</si>
  <si>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</si>
  <si>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</si>
  <si>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</si>
  <si>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</si>
  <si>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</si>
  <si>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</si>
  <si>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</si>
  <si>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</si>
  <si>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</si>
  <si>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</si>
  <si>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</si>
  <si>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</si>
  <si>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</si>
  <si>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</si>
  <si>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</si>
  <si>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</si>
  <si>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</si>
  <si>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</si>
  <si>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</si>
  <si>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</si>
  <si>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</si>
  <si>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</si>
  <si>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</si>
  <si>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</si>
  <si>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</si>
  <si>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</si>
  <si>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</si>
  <si>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</si>
  <si>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</si>
  <si>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</si>
  <si>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</si>
  <si>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</si>
  <si>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</si>
  <si>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</si>
  <si>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</si>
  <si>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</si>
  <si>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</si>
  <si>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</si>
  <si>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</si>
  <si>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</si>
  <si>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</si>
  <si>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</si>
  <si>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</si>
  <si>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</si>
  <si>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</si>
  <si>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</si>
  <si>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</si>
  <si>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</si>
  <si>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</si>
  <si>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</si>
  <si>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</si>
  <si>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</si>
  <si>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</si>
  <si>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</si>
  <si>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</si>
  <si>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</si>
  <si>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</si>
  <si>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</si>
  <si>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</si>
  <si>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</si>
  <si>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</si>
  <si>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</si>
  <si>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</si>
  <si>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</si>
  <si>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</si>
  <si>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</si>
  <si>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</si>
  <si>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</si>
  <si>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</si>
  <si>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</si>
  <si>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</si>
  <si>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</si>
  <si>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</si>
  <si>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</si>
  <si>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</si>
  <si>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</si>
  <si>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</si>
  <si>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</si>
  <si>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</si>
  <si>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</si>
  <si>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</si>
  <si>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</si>
  <si>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</si>
  <si>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</si>
  <si>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</si>
  <si>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</si>
  <si>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</si>
  <si>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</si>
  <si>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</si>
  <si>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</si>
  <si>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</si>
  <si>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</si>
  <si>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</si>
  <si>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</si>
  <si>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</si>
  <si>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</si>
  <si>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</si>
  <si>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</si>
  <si>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</si>
  <si>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</si>
  <si>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</si>
  <si>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</si>
  <si>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</si>
  <si>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</si>
  <si>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</si>
  <si>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</si>
  <si>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</si>
  <si>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</si>
  <si>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</si>
  <si>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</si>
  <si>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</si>
  <si>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</si>
  <si>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</si>
  <si>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</si>
  <si>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</si>
  <si>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</si>
  <si>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</si>
  <si>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</si>
  <si>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</si>
  <si>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</si>
  <si>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</si>
  <si>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</si>
  <si>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</si>
  <si>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</si>
  <si>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</si>
  <si>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</si>
  <si>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</si>
  <si>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</si>
  <si>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</si>
  <si>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</si>
  <si>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</si>
  <si>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</si>
  <si>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</si>
  <si>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</si>
  <si>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</si>
  <si>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</si>
  <si>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</si>
  <si>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</si>
  <si>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</si>
  <si>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</si>
  <si>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</si>
  <si>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</si>
  <si>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</si>
  <si>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</si>
  <si>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</si>
  <si>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</si>
  <si>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</si>
  <si>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</si>
  <si>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</si>
  <si>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</si>
  <si>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</si>
  <si>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</si>
  <si>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</si>
  <si>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</si>
  <si>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</si>
  <si>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</si>
  <si>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</si>
  <si>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</si>
  <si>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</si>
  <si>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</si>
  <si>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</si>
  <si>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</si>
  <si>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</si>
  <si>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</si>
  <si>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</si>
  <si>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</si>
  <si>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</si>
  <si>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</si>
  <si>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</si>
  <si>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</si>
  <si>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</si>
  <si>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</si>
  <si>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</si>
  <si>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</si>
  <si>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</si>
  <si>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</si>
  <si>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</si>
  <si>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</si>
  <si>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</si>
  <si>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</si>
  <si>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</si>
  <si>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</si>
  <si>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</si>
  <si>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</si>
  <si>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</si>
  <si>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</si>
  <si>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</si>
  <si>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</si>
  <si>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</si>
  <si>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</si>
  <si>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</si>
  <si>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</si>
  <si>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</si>
  <si>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</si>
  <si>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</si>
  <si>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</si>
  <si>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</si>
  <si>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</si>
  <si>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</si>
  <si>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</si>
  <si>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</si>
  <si>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</si>
  <si>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</si>
  <si>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</si>
  <si>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</si>
  <si>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</si>
  <si>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</si>
  <si>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</si>
  <si>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</si>
  <si>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</si>
  <si>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</si>
  <si>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</si>
  <si>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</si>
  <si>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</si>
  <si>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</si>
  <si>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</si>
  <si>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</si>
  <si>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</si>
  <si>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</si>
  <si>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</si>
  <si>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</si>
  <si>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</si>
  <si>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</si>
  <si>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</si>
  <si>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</si>
  <si>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</si>
  <si>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</si>
  <si>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</si>
  <si>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</si>
  <si>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</si>
  <si>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</si>
  <si>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</si>
  <si>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</si>
  <si>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</si>
  <si>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</si>
  <si>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</si>
  <si>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</si>
  <si>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</si>
  <si>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</si>
  <si>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</si>
  <si>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</si>
  <si>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</si>
  <si>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</si>
  <si>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</si>
  <si>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</si>
  <si>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</si>
  <si>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</si>
  <si>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</si>
  <si>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</si>
  <si>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</si>
  <si>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</si>
  <si>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</si>
  <si>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</si>
  <si>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</si>
  <si>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</si>
  <si>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</si>
  <si>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</si>
  <si>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</si>
  <si>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</si>
  <si>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</si>
  <si>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</si>
  <si>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</si>
  <si>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</si>
  <si>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</si>
  <si>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</si>
  <si>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</si>
  <si>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</si>
  <si>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</si>
  <si>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</si>
  <si>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</si>
  <si>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</si>
  <si>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</si>
  <si>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</si>
  <si>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</si>
  <si>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</si>
  <si>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</si>
  <si>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</si>
  <si>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</si>
  <si>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</si>
  <si>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</si>
  <si>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</si>
  <si>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</si>
  <si>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</si>
  <si>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</si>
  <si>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</si>
  <si>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</si>
  <si>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</si>
  <si>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</si>
  <si>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</si>
  <si>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</si>
  <si>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</si>
  <si>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</si>
  <si>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</si>
  <si>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</si>
  <si>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</si>
  <si>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</si>
  <si>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</si>
  <si>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</si>
  <si>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</si>
  <si>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</si>
  <si>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</si>
  <si>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</si>
  <si>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</si>
  <si>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</si>
  <si>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</si>
  <si>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</si>
  <si>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</si>
  <si>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</si>
  <si>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</si>
  <si>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</si>
  <si>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</si>
  <si>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</si>
  <si>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</si>
  <si>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</si>
  <si>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</si>
  <si>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</si>
  <si>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</si>
  <si>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</si>
  <si>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</si>
  <si>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</si>
  <si>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</si>
  <si>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</si>
  <si>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</si>
  <si>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</si>
  <si>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</si>
  <si>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</si>
  <si>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</si>
  <si>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</si>
  <si>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</si>
  <si>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</si>
  <si>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</si>
  <si>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</si>
  <si>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</si>
  <si>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</si>
  <si>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</si>
  <si>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</si>
  <si>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</si>
  <si>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</si>
  <si>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</si>
  <si>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</si>
  <si>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</si>
  <si>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</si>
  <si>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</si>
  <si>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</si>
  <si>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</si>
  <si>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</si>
  <si>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</si>
  <si>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</si>
  <si>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</si>
  <si>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</si>
  <si>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</si>
  <si>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</si>
  <si>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</si>
  <si>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</si>
  <si>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</si>
  <si>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</si>
  <si>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</si>
  <si>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</si>
  <si>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</si>
  <si>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</si>
  <si>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</si>
  <si>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</si>
  <si>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</si>
  <si>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</si>
  <si>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</si>
  <si>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</si>
  <si>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</si>
  <si>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</si>
  <si>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</si>
  <si>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</si>
  <si>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</si>
  <si>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</si>
  <si>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</si>
  <si>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</si>
  <si>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</si>
  <si>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</si>
  <si>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</si>
  <si>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</si>
  <si>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</si>
  <si>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</si>
  <si>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</si>
  <si>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</si>
  <si>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</si>
  <si>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</si>
  <si>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</si>
  <si>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</si>
  <si>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</si>
  <si>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</si>
  <si>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</si>
  <si>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</si>
  <si>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</si>
  <si>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</si>
  <si>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</si>
  <si>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</si>
  <si>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</si>
  <si>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</si>
  <si>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</si>
  <si>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</si>
  <si>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</si>
  <si>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</si>
  <si>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</si>
  <si>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</si>
  <si>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</si>
  <si>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</si>
  <si>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</si>
  <si>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</si>
  <si>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</si>
  <si>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</si>
  <si>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</si>
  <si>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</si>
  <si>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</si>
  <si>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</si>
  <si>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</si>
  <si>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</si>
  <si>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</si>
  <si>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</si>
  <si>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</si>
  <si>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</si>
  <si>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</si>
  <si>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</si>
  <si>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</si>
  <si>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</si>
  <si>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</si>
  <si>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</si>
  <si>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</si>
  <si>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</si>
  <si>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</si>
  <si>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</si>
  <si>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</si>
  <si>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</si>
  <si>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</si>
  <si>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</si>
  <si>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</si>
  <si>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</si>
  <si>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</si>
  <si>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</si>
  <si>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</si>
  <si>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</si>
  <si>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</si>
  <si>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</si>
  <si>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</si>
  <si>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</si>
  <si>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</si>
  <si>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</si>
  <si>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</si>
  <si>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</si>
  <si>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</si>
  <si>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</si>
  <si>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</si>
  <si>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</si>
  <si>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</si>
  <si>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</si>
  <si>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</si>
  <si>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</si>
  <si>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</si>
  <si>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</si>
  <si>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</si>
  <si>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</si>
  <si>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</si>
  <si>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</si>
  <si>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</si>
  <si>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</si>
  <si>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</si>
  <si>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</si>
  <si>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</si>
  <si>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</si>
  <si>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</si>
  <si>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</si>
  <si>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</si>
  <si>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</si>
  <si>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</si>
  <si>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</si>
  <si>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</si>
  <si>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</si>
  <si>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</si>
  <si>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</si>
  <si>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</si>
  <si>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</si>
  <si>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</si>
  <si>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</si>
  <si>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</si>
  <si>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</si>
  <si>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</si>
  <si>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</si>
  <si>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</si>
  <si>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</si>
  <si>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</si>
  <si>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</si>
  <si>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</si>
  <si>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</si>
  <si>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</si>
  <si>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</si>
  <si>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</si>
  <si>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</si>
  <si>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</si>
  <si>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</si>
  <si>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</si>
  <si>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</si>
  <si>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</si>
  <si>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</si>
  <si>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</si>
  <si>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</si>
  <si>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</si>
  <si>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</si>
  <si>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</si>
  <si>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</si>
  <si>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</si>
  <si>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</si>
  <si>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</si>
  <si>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</si>
  <si>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</si>
  <si>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</si>
  <si>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</si>
  <si>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</si>
  <si>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</si>
  <si>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</si>
  <si>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</si>
  <si>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</si>
  <si>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</si>
  <si>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</si>
  <si>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</si>
  <si>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</si>
  <si>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</si>
  <si>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</si>
  <si>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</si>
  <si>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</si>
  <si>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</si>
  <si>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</si>
  <si>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</si>
  <si>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</si>
  <si>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</si>
  <si>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</si>
  <si>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</si>
  <si>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</si>
  <si>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</si>
  <si>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</si>
  <si>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</si>
  <si>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</si>
  <si>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</si>
  <si>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</si>
  <si>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</si>
  <si>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</si>
  <si>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</si>
  <si>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</si>
  <si>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</si>
  <si>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</si>
  <si>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</si>
  <si>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</si>
  <si>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</si>
  <si>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</si>
  <si>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</si>
  <si>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</si>
  <si>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</si>
  <si>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</si>
  <si>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</si>
  <si>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</si>
  <si>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</si>
  <si>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</si>
  <si>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</si>
  <si>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</si>
  <si>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</si>
  <si>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</si>
  <si>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</si>
  <si>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</si>
  <si>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</si>
  <si>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</si>
  <si>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</si>
  <si>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</si>
  <si>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</si>
  <si>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</si>
  <si>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</si>
  <si>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</si>
  <si>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</si>
  <si>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</si>
  <si>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</si>
  <si>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</si>
  <si>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</si>
  <si>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</si>
  <si>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</si>
  <si>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</si>
  <si>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</si>
  <si>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</si>
  <si>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</si>
  <si>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</si>
  <si>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</si>
  <si>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</si>
  <si>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</si>
  <si>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</si>
  <si>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</si>
  <si>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</si>
  <si>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</si>
  <si>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</si>
  <si>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</si>
  <si>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</si>
  <si>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</si>
  <si>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</si>
  <si>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</si>
  <si>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</si>
  <si>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</si>
  <si>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</si>
  <si>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</si>
  <si>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</si>
  <si>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</si>
  <si>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</si>
  <si>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</si>
  <si>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</si>
  <si>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</si>
  <si>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</si>
  <si>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</si>
  <si>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</si>
  <si>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</si>
  <si>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</si>
  <si>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</si>
  <si>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</si>
  <si>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</si>
  <si>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</si>
  <si>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</si>
  <si>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</si>
  <si>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</si>
  <si>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</si>
  <si>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</si>
  <si>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</si>
  <si>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</si>
  <si>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</si>
  <si>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</si>
  <si>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</si>
  <si>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</si>
  <si>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</si>
  <si>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</si>
  <si>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</si>
  <si>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</si>
  <si>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</si>
  <si>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</si>
  <si>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</si>
  <si>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</si>
  <si>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</si>
  <si>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</si>
  <si>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</si>
  <si>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</si>
  <si>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</si>
  <si>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</si>
  <si>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</si>
  <si>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</si>
  <si>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</si>
  <si>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</si>
  <si>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</si>
  <si>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</si>
  <si>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</si>
  <si>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</si>
  <si>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</si>
  <si>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</si>
  <si>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</si>
  <si>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</si>
  <si>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</si>
  <si>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</si>
  <si>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</si>
  <si>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</si>
  <si>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</si>
  <si>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</si>
  <si>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</si>
  <si>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</si>
  <si>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</si>
  <si>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</si>
  <si>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</si>
  <si>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</si>
  <si>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</si>
  <si>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</si>
  <si>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</si>
  <si>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</si>
  <si>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</si>
  <si>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</si>
  <si>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</si>
  <si>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</si>
  <si>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</si>
  <si>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</si>
  <si>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</si>
  <si>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</si>
  <si>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</si>
  <si>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</si>
  <si>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</si>
  <si>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</si>
  <si>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</si>
  <si>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</si>
  <si>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</si>
  <si>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</si>
  <si>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</si>
  <si>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</si>
  <si>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</si>
  <si>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</si>
  <si>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</si>
  <si>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</si>
  <si>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</si>
  <si>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</si>
  <si>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</si>
  <si>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</si>
  <si>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</si>
  <si>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</si>
  <si>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</si>
  <si>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</si>
  <si>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</si>
  <si>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Row Labels</t>
  </si>
  <si>
    <t>Grand Total</t>
  </si>
  <si>
    <t xml:space="preserve"> </t>
  </si>
  <si>
    <t>Work-Life Balance</t>
  </si>
  <si>
    <t>Work Environment</t>
  </si>
  <si>
    <t>Job Engagement</t>
  </si>
  <si>
    <t>Work Relationships</t>
  </si>
  <si>
    <t>Overall Experience Score</t>
  </si>
  <si>
    <t>Attrition_Count</t>
  </si>
  <si>
    <t>Attrition Rate(%)</t>
  </si>
  <si>
    <t>Overtime Rate(%)</t>
  </si>
  <si>
    <t>Average Tenure (Years)</t>
  </si>
  <si>
    <t>Average Performance Rating</t>
  </si>
  <si>
    <t>Sum of Attrition_Count</t>
  </si>
  <si>
    <r>
      <t xml:space="preserve">                                                 </t>
    </r>
    <r>
      <rPr>
        <b/>
        <sz val="18"/>
        <color theme="0"/>
        <rFont val="Amasis MT Pro"/>
        <family val="1"/>
      </rPr>
      <t>HR Attrition Analysis Dashboard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</si>
</sst>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4" x14ac:knownFonts="1">
    <font>
      <sz val="11"/>
      <color theme="1"/>
      <name val="Calibri"/>
      <family val="2"/>
      <scheme val="minor"/>
    </font>
    <font>
      <b/>
      <sz val="20"/>
      <color theme="0"/>
      <name val="Amasis MT Pro"/>
      <family val="1"/>
    </font>
    <font>
      <b/>
      <sz val="18"/>
      <color theme="0"/>
      <name val="Amasis MT Pro"/>
      <family val="1"/>
    </font>
    <font>
      <b/>
      <sz val="11"/>
      <color theme="1"/>
      <name val="Calibri"/>
      <family val="2"/>
      <scheme val="minor"/>
    </font>
  </fonts>
  <fills count="5">
    <fill>
      <patternFill patternType="none"/>
    </fill>
    <fill>
      <patternFill patternType="gray125"/>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0"/>
        <bgColor indexed="64"/>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4" fontId="0" fillId="0" borderId="0" xfId="0" applyNumberFormat="1"/>
    <xf numFmtId="0" fontId="1" fillId="2" borderId="0" xfId="0" applyFont="1" applyFill="1" applyAlignment="1">
      <alignment horizontal="left" vertical="center"/>
    </xf>
    <xf numFmtId="0" fontId="3" fillId="3" borderId="1" xfId="0" applyFont="1" applyFill="1" applyBorder="1"/>
    <xf numFmtId="0" fontId="0" fillId="0" borderId="0" xfId="0" applyNumberFormat="1"/>
    <xf numFmtId="4" fontId="3" fillId="3" borderId="2" xfId="0" applyNumberFormat="1" applyFont="1" applyFill="1" applyBorder="1"/>
    <xf numFmtId="4" fontId="0" fillId="4" borderId="0" xfId="0" applyNumberFormat="1" applyFill="1"/>
    <xf numFmtId="0" fontId="0" fillId="0" borderId="3" xfId="0" applyBorder="1"/>
    <xf numFmtId="164" fontId="0" fillId="0" borderId="3" xfId="0" applyNumberFormat="1" applyBorder="1"/>
    <xf numFmtId="1" fontId="0" fillId="0" borderId="0" xfId="0" applyNumberFormat="1"/>
  </cellXfs>
  <cellStyles count="1">
    <cellStyle name="Normal" xfId="0" builtinId="0"/>
  </cellStyles>
  <dxfs count="33">
    <dxf>
      <numFmt numFmtId="4" formatCode="#,##0.00"/>
    </dxf>
    <dxf>
      <numFmt numFmtId="4" formatCode="#,##0.00"/>
    </dxf>
    <dxf>
      <numFmt numFmtId="0" formatCode="General"/>
    </dxf>
    <dxf>
      <numFmt numFmtId="19" formatCode="m/d/yyyy"/>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32"/>
      <tableStyleElement type="headerRow" dxfId="31"/>
    </tableStyle>
    <tableStyle name="myslicer" pivot="0" table="0" count="10" xr9:uid="{AF04C38B-2A4A-4A70-8619-8E99E934A607}">
      <tableStyleElement type="wholeTable" dxfId="30"/>
      <tableStyleElement type="headerRow" dxfId="29"/>
    </tableStyle>
  </tableStyles>
  <colors>
    <mruColors>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microsoft.com/office/2007/relationships/slicerCache" Target="slicerCaches/slicerCache1.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50" Type="http://schemas.openxmlformats.org/officeDocument/2006/relationships/customXml" Target="../customXml/item24.xml"/><Relationship Id="rId55" Type="http://schemas.openxmlformats.org/officeDocument/2006/relationships/customXml" Target="../customXml/item2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customXml" Target="../customXml/item3.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3" Type="http://schemas.openxmlformats.org/officeDocument/2006/relationships/customXml" Target="../customXml/item27.xml"/><Relationship Id="rId58" Type="http://schemas.openxmlformats.org/officeDocument/2006/relationships/customXml" Target="../customXml/item32.xml"/><Relationship Id="rId5" Type="http://schemas.openxmlformats.org/officeDocument/2006/relationships/worksheet" Target="worksheets/sheet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56" Type="http://schemas.openxmlformats.org/officeDocument/2006/relationships/customXml" Target="../customXml/item30.xml"/><Relationship Id="rId8" Type="http://schemas.openxmlformats.org/officeDocument/2006/relationships/worksheet" Target="worksheets/sheet8.xml"/><Relationship Id="rId51" Type="http://schemas.openxmlformats.org/officeDocument/2006/relationships/customXml" Target="../customXml/item25.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59" Type="http://schemas.openxmlformats.org/officeDocument/2006/relationships/customXml" Target="../customXml/item33.xml"/><Relationship Id="rId20" Type="http://schemas.openxmlformats.org/officeDocument/2006/relationships/theme" Target="theme/theme1.xml"/><Relationship Id="rId41" Type="http://schemas.openxmlformats.org/officeDocument/2006/relationships/customXml" Target="../customXml/item15.xml"/><Relationship Id="rId54"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4.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 Id="rId57" Type="http://schemas.openxmlformats.org/officeDocument/2006/relationships/customXml" Target="../customXml/item31.xml"/><Relationship Id="rId10" Type="http://schemas.openxmlformats.org/officeDocument/2006/relationships/worksheet" Target="worksheets/sheet10.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60" Type="http://schemas.openxmlformats.org/officeDocument/2006/relationships/customXml" Target="../customXml/item3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5607-4DA7-840D-C6F7F82B4B24}"/>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5607-4DA7-840D-C6F7F82B4B24}"/>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5607-4DA7-840D-C6F7F82B4B24}"/>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5607-4DA7-840D-C6F7F82B4B24}"/>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5607-4DA7-840D-C6F7F82B4B24}"/>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DEPARTMENT</a:t>
                </a:r>
              </a:p>
            </c:rich>
          </c:tx>
          <c:layout>
            <c:manualLayout>
              <c:xMode val="edge"/>
              <c:yMode val="edge"/>
              <c:x val="0.46217732468385214"/>
              <c:y val="0.90747666958296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p>
            </c:rich>
          </c:tx>
          <c:layout>
            <c:manualLayout>
              <c:xMode val="edge"/>
              <c:yMode val="edge"/>
              <c:x val="1.8105744062578664E-2"/>
              <c:y val="0.4892636337124526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[hr_attrition_cleaned_data.xlsx]Pivot_Dept_OT_Rate!PivotTable11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Attrition</a:t>
            </a:r>
            <a:r>
              <a:rPr lang="en-US" sz="1400" b="1" baseline="0"/>
              <a:t> &amp; Overtime</a:t>
            </a:r>
            <a:r>
              <a:rPr lang="en-US" sz="1400" b="1"/>
              <a: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Pivot_Dept_OT_Rate!$B$3</c:f>
              <c:strCache>
                <c:ptCount val="1"/>
                <c:pt idx="0">
                  <c:v>Attrition Rate(%)</c:v>
                </c:pt>
              </c:strCache>
            </c:strRef>
          </c:tx>
          <c:spPr>
            <a:solidFill>
              <a:schemeClr val="accent6">
                <a:lumMod val="60000"/>
                <a:lumOff val="40000"/>
              </a:schemeClr>
            </a:solidFill>
            <a:ln>
              <a:noFill/>
            </a:ln>
            <a:effectLst/>
          </c:spPr>
          <c:invertIfNegative val="0"/>
          <c:cat>
            <c:strRef>
              <c:f>Pivot_Dept_OT_Rate!$A$4:$A$11</c:f>
              <c:strCache>
                <c:ptCount val="7"/>
                <c:pt idx="0">
                  <c:v>Customer Success</c:v>
                </c:pt>
                <c:pt idx="1">
                  <c:v>Engineering</c:v>
                </c:pt>
                <c:pt idx="2">
                  <c:v>Finance</c:v>
                </c:pt>
                <c:pt idx="3">
                  <c:v>HR</c:v>
                </c:pt>
                <c:pt idx="4">
                  <c:v>Marketing</c:v>
                </c:pt>
                <c:pt idx="5">
                  <c:v>Operations</c:v>
                </c:pt>
                <c:pt idx="6">
                  <c:v>Sales</c:v>
                </c:pt>
              </c:strCache>
            </c:strRef>
          </c:cat>
          <c:val>
            <c:numRef>
              <c:f>Pivot_Dept_OT_Rate!$B$4:$B$11</c:f>
              <c:numCache>
                <c:formatCode>0.00</c:formatCode>
                <c:ptCount val="7"/>
                <c:pt idx="2">
                  <c:v>0.3968253968253968</c:v>
                </c:pt>
                <c:pt idx="3">
                  <c:v>0.49261083743842365</c:v>
                </c:pt>
                <c:pt idx="4">
                  <c:v>0.29239766081871343</c:v>
                </c:pt>
              </c:numCache>
            </c:numRef>
          </c:val>
          <c:extLst>
            <c:ext xmlns:c16="http://schemas.microsoft.com/office/drawing/2014/chart" uri="{C3380CC4-5D6E-409C-BE32-E72D297353CC}">
              <c16:uniqueId val="{00000000-4CBA-4326-B0C0-2DB6DA3898DE}"/>
            </c:ext>
          </c:extLst>
        </c:ser>
        <c:ser>
          <c:idx val="1"/>
          <c:order val="1"/>
          <c:tx>
            <c:strRef>
              <c:f>Pivot_Dept_OT_Rate!$C$3</c:f>
              <c:strCache>
                <c:ptCount val="1"/>
                <c:pt idx="0">
                  <c:v>Overtime Rate(%)</c:v>
                </c:pt>
              </c:strCache>
            </c:strRef>
          </c:tx>
          <c:spPr>
            <a:solidFill>
              <a:schemeClr val="accent6"/>
            </a:solidFill>
            <a:ln>
              <a:noFill/>
            </a:ln>
            <a:effectLst/>
          </c:spPr>
          <c:invertIfNegative val="0"/>
          <c:cat>
            <c:strRef>
              <c:f>Pivot_Dept_OT_Rate!$A$4:$A$11</c:f>
              <c:strCache>
                <c:ptCount val="7"/>
                <c:pt idx="0">
                  <c:v>Customer Success</c:v>
                </c:pt>
                <c:pt idx="1">
                  <c:v>Engineering</c:v>
                </c:pt>
                <c:pt idx="2">
                  <c:v>Finance</c:v>
                </c:pt>
                <c:pt idx="3">
                  <c:v>HR</c:v>
                </c:pt>
                <c:pt idx="4">
                  <c:v>Marketing</c:v>
                </c:pt>
                <c:pt idx="5">
                  <c:v>Operations</c:v>
                </c:pt>
                <c:pt idx="6">
                  <c:v>Sales</c:v>
                </c:pt>
              </c:strCache>
            </c:strRef>
          </c:cat>
          <c:val>
            <c:numRef>
              <c:f>Pivot_Dept_OT_Rate!$C$4:$C$11</c:f>
              <c:numCache>
                <c:formatCode>0.00</c:formatCode>
                <c:ptCount val="7"/>
                <c:pt idx="0">
                  <c:v>9.4786729857819907</c:v>
                </c:pt>
                <c:pt idx="1">
                  <c:v>10.559006211180124</c:v>
                </c:pt>
                <c:pt idx="2">
                  <c:v>5.9523809523809517</c:v>
                </c:pt>
                <c:pt idx="3">
                  <c:v>2.4630541871921183</c:v>
                </c:pt>
                <c:pt idx="4">
                  <c:v>8.7719298245614024</c:v>
                </c:pt>
                <c:pt idx="5">
                  <c:v>4.7808764940239046</c:v>
                </c:pt>
                <c:pt idx="6">
                  <c:v>11.936339522546419</c:v>
                </c:pt>
              </c:numCache>
            </c:numRef>
          </c:val>
          <c:extLst>
            <c:ext xmlns:c16="http://schemas.microsoft.com/office/drawing/2014/chart" uri="{C3380CC4-5D6E-409C-BE32-E72D297353CC}">
              <c16:uniqueId val="{00000001-4CBA-4326-B0C0-2DB6DA3898DE}"/>
            </c:ext>
          </c:extLst>
        </c:ser>
        <c:dLbls>
          <c:showLegendKey val="0"/>
          <c:showVal val="0"/>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gradFill flip="none" rotWithShape="1">
        <a:gsLst>
          <a:gs pos="0">
            <a:schemeClr val="accent6">
              <a:lumMod val="67000"/>
            </a:schemeClr>
          </a:gs>
          <a:gs pos="48000">
            <a:schemeClr val="accent6">
              <a:lumMod val="97000"/>
              <a:lumOff val="3000"/>
            </a:schemeClr>
          </a:gs>
          <a:gs pos="100000">
            <a:schemeClr val="accent6">
              <a:lumMod val="60000"/>
              <a:lumOff val="40000"/>
            </a:schemeClr>
          </a:gs>
        </a:gsLst>
        <a:lin ang="16200000" scaled="1"/>
        <a:tileRect/>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[hr_attrition_cleaned_data.xlsx]Pivot_Avg_Perf_Years!PivotTable7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Pivot_Avg_Perf_Years!$B$3</c:f>
              <c:strCache>
                <c:ptCount val="1"/>
                <c:pt idx="0">
                  <c:v>Average Performance Rating</c:v>
                </c:pt>
              </c:strCache>
            </c:strRef>
          </c:tx>
          <c:spPr>
            <a:solidFill>
              <a:schemeClr val="accent6">
                <a:shade val="76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Pivot_Avg_Perf_Years!$A$4:$A$11</c:f>
              <c:strCache>
                <c:ptCount val="7"/>
                <c:pt idx="0">
                  <c:v>Customer Success</c:v>
                </c:pt>
                <c:pt idx="1">
                  <c:v>Engineering</c:v>
                </c:pt>
                <c:pt idx="2">
                  <c:v>Finance</c:v>
                </c:pt>
                <c:pt idx="3">
                  <c:v>HR</c:v>
                </c:pt>
                <c:pt idx="4">
                  <c:v>Marketing</c:v>
                </c:pt>
                <c:pt idx="5">
                  <c:v>Operations</c:v>
                </c:pt>
                <c:pt idx="6">
                  <c:v>Sales</c:v>
                </c:pt>
              </c:strCache>
            </c:strRef>
          </c:cat>
          <c:val>
            <c:numRef>
              <c:f>Pivot_Avg_Perf_Years!$B$4:$B$11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Pivot_Avg_Perf_Years!$C$3</c:f>
              <c:strCache>
                <c:ptCount val="1"/>
                <c:pt idx="0">
                  <c:v>Average Tenure (Years)</c:v>
                </c:pt>
              </c:strCache>
            </c:strRef>
          </c:tx>
          <c:spPr>
            <a:solidFill>
              <a:schemeClr val="accent6">
                <a:tint val="77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Pivot_Avg_Perf_Years!$A$4:$A$11</c:f>
              <c:strCache>
                <c:ptCount val="7"/>
                <c:pt idx="0">
                  <c:v>Customer Success</c:v>
                </c:pt>
                <c:pt idx="1">
                  <c:v>Engineering</c:v>
                </c:pt>
                <c:pt idx="2">
                  <c:v>Finance</c:v>
                </c:pt>
                <c:pt idx="3">
                  <c:v>HR</c:v>
                </c:pt>
                <c:pt idx="4">
                  <c:v>Marketing</c:v>
                </c:pt>
                <c:pt idx="5">
                  <c:v>Operations</c:v>
                </c:pt>
                <c:pt idx="6">
                  <c:v>Sales</c:v>
                </c:pt>
              </c:strCache>
            </c:strRef>
          </c:cat>
          <c:val>
            <c:numRef>
              <c:f>Pivot_Avg_Perf_Years!$C$4:$C$11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r>
                  <a:rPr lang="en-US" b="1"/>
                  <a:t>department</a:t>
                </a:r>
              </a:p>
            </c:rich>
          </c:tx>
          <c:layout>
            <c:manualLayout>
              <c:xMode val="edge"/>
              <c:yMode val="edge"/>
              <c:x val="0.45717044020016528"/>
              <c:y val="0.91184734208904783"/>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9828806001326"/>
          <c:y val="0.19767330843477657"/>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gradFill flip="none" rotWithShape="1">
        <a:gsLst>
          <a:gs pos="0">
            <a:schemeClr val="accent6">
              <a:lumMod val="67000"/>
            </a:schemeClr>
          </a:gs>
          <a:gs pos="48000">
            <a:schemeClr val="accent6">
              <a:lumMod val="97000"/>
              <a:lumOff val="3000"/>
            </a:schemeClr>
          </a:gs>
          <a:gs pos="100000">
            <a:schemeClr val="accent6">
              <a:lumMod val="60000"/>
              <a:lumOff val="40000"/>
            </a:schemeClr>
          </a:gs>
        </a:gsLst>
        <a:lin ang="16200000" scaled="1"/>
        <a:tileRect/>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[hr_attrition_cleaned_data.xlsx]Pivot_Gender_Attrition!PivotTable1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25400">
            <a:solidFill>
              <a:schemeClr val="lt1"/>
            </a:solidFill>
          </a:ln>
          <a:effectLst/>
          <a:sp3d contourW="25400">
            <a:contourClr>
              <a:schemeClr val="lt1"/>
            </a:contourClr>
          </a:sp3d>
        </c:spPr>
      </c:pivotFmt>
      <c:pivotFmt>
        <c:idx val="7"/>
        <c:spPr>
          <a:solidFill>
            <a:schemeClr val="accent6">
              <a:tint val="77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Pivot_Gender_Attrition!$B$3</c:f>
              <c:strCache>
                <c:ptCount val="1"/>
                <c:pt idx="0">
                  <c:v>Total</c:v>
                </c:pt>
              </c:strCache>
            </c:strRef>
          </c:tx>
          <c:dPt>
            <c:idx val="0"/>
            <c:bubble3D val="0"/>
            <c:spPr>
              <a:solidFill>
                <a:schemeClr val="accent6">
                  <a:shade val="76000"/>
                </a:schemeClr>
              </a:solidFill>
              <a:ln w="25400">
                <a:solidFill>
                  <a:schemeClr val="lt1"/>
                </a:solidFill>
              </a:ln>
              <a:effectLst/>
              <a:sp3d contourW="25400">
                <a:contourClr>
                  <a:schemeClr val="lt1"/>
                </a:contourClr>
              </a:sp3d>
            </c:spPr>
          </c:dPt>
          <c:dPt>
            <c:idx val="1"/>
            <c:bubble3D val="0"/>
            <c:spPr>
              <a:solidFill>
                <a:schemeClr val="accent6">
                  <a:tint val="77000"/>
                </a:schemeClr>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Pivot_Gender_Attrition!$A$4:$A$6</c:f>
              <c:strCache>
                <c:ptCount val="2"/>
                <c:pt idx="0">
                  <c:v>Female</c:v>
                </c:pt>
                <c:pt idx="1">
                  <c:v>Male</c:v>
                </c:pt>
              </c:strCache>
            </c:strRef>
          </c:cat>
          <c:val>
            <c:numRef>
              <c:f>Pivot_Gender_Attrition!$B$4:$B$6</c:f>
              <c:numCache>
                <c:formatCode>General</c:formatCode>
                <c:ptCount val="2"/>
                <c:pt idx="0">
                  <c:v>1</c:v>
                </c:pt>
                <c:pt idx="1">
                  <c:v>2</c:v>
                </c:pt>
              </c:numCache>
            </c:numRef>
          </c:val>
          <c:extLst>
            <c:ext xmlns:c16="http://schemas.microsoft.com/office/drawing/2014/chart" uri="{C3380CC4-5D6E-409C-BE32-E72D297353CC}">
              <c16:uniqueId val="{00000010-CEA5-417D-BBF3-B3874EF105E9}"/>
            </c:ext>
          </c:extLst>
        </c:ser>
        <c:dLbls>
          <c:dLblPos val="bestFit"/>
          <c:showLegendKey val="0"/>
          <c:showVal val="1"/>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606B-40B2-B803-E60197B2D240}"/>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606B-40B2-B803-E60197B2D240}"/>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606B-40B2-B803-E60197B2D240}"/>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606B-40B2-B803-E60197B2D240}"/>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606B-40B2-B803-E60197B2D240}"/>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DEPARTMENT</a:t>
                </a:r>
              </a:p>
            </c:rich>
          </c:tx>
          <c:layout>
            <c:manualLayout>
              <c:xMode val="edge"/>
              <c:yMode val="edge"/>
              <c:x val="0.46217732468385214"/>
              <c:y val="0.90747666958296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 VALUE</a:t>
                </a:r>
              </a:p>
            </c:rich>
          </c:tx>
          <c:layout>
            <c:manualLayout>
              <c:xMode val="edge"/>
              <c:yMode val="edge"/>
              <c:x val="2.4772353455818023E-2"/>
              <c:y val="0.42683345183858706"/>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[hr_attrition_cleaned_data.xlsx]Pivot_Dept_Attrition!PivotTable12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Pivot_Dept_Attrition!$B$3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Pivot_Dept_Attrition!$A$4:$A$11</c:f>
              <c:strCache>
                <c:ptCount val="7"/>
                <c:pt idx="0">
                  <c:v>Customer Success</c:v>
                </c:pt>
                <c:pt idx="1">
                  <c:v>Engineering</c:v>
                </c:pt>
                <c:pt idx="2">
                  <c:v>Finance</c:v>
                </c:pt>
                <c:pt idx="3">
                  <c:v>HR</c:v>
                </c:pt>
                <c:pt idx="4">
                  <c:v>Marketing</c:v>
                </c:pt>
                <c:pt idx="5">
                  <c:v>Operations</c:v>
                </c:pt>
                <c:pt idx="6">
                  <c:v>Sales</c:v>
                </c:pt>
              </c:strCache>
            </c:strRef>
          </c:cat>
          <c:val>
            <c:numRef>
              <c:f>Pivot_Dept_Attrition!$B$4:$B$11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DEPARTMENT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7" Type="http://schemas.openxmlformats.org/officeDocument/2006/relationships/chart" Target="../charts/chart6.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xdr:from>
      <xdr:col>6</xdr:col>
      <xdr:colOff>102721</xdr:colOff>
      <xdr:row>6</xdr:row>
      <xdr:rowOff>66490</xdr:rowOff>
    </xdr:from>
    <xdr:to>
      <xdr:col>10</xdr:col>
      <xdr:colOff>513602</xdr:colOff>
      <xdr:row>17</xdr:row>
      <xdr:rowOff>168090</xdr:rowOff>
    </xdr:to>
    <xdr:graphicFrame macro="">
      <xdr:nvGraphicFramePr>
        <xdr:cNvPr id="5" name="Chart 4">
          <a:extLst>
            <a:ext uri="{FF2B5EF4-FFF2-40B4-BE49-F238E27FC236}">
              <a16:creationId xmlns:a16="http://schemas.microsoft.com/office/drawing/2014/main" id="{50D4B0CA-E13F-3DE1-8129-7B94758483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9525</xdr:colOff>
      <xdr:row>16</xdr:row>
      <xdr:rowOff>142875</xdr:rowOff>
    </xdr:from>
    <xdr:to>
      <xdr:col>7</xdr:col>
      <xdr:colOff>428625</xdr:colOff>
      <xdr:row>29</xdr:row>
      <xdr:rowOff>47625</xdr:rowOff>
    </xdr:to>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9525</xdr:rowOff>
    </xdr:from>
    <xdr:to>
      <xdr:col>9</xdr:col>
      <xdr:colOff>19050</xdr:colOff>
      <xdr:row>16</xdr:row>
      <xdr:rowOff>161926</xdr:rowOff>
    </xdr:to>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200" y="0"/>
          <a:ext cx="438150" cy="438150"/>
        </a:xfrm>
        <a:prstGeom prst="rect">
          <a:avLst/>
        </a:prstGeom>
      </xdr:spPr>
    </xdr:pic>
    <xdr:clientData/>
  </xdr:twoCellAnchor>
  <xdr:twoCellAnchor>
    <xdr:from>
      <xdr:col>13</xdr:col>
      <xdr:colOff>561976</xdr:colOff>
      <xdr:row>16</xdr:row>
      <xdr:rowOff>161925</xdr:rowOff>
    </xdr:from>
    <xdr:to>
      <xdr:col>18</xdr:col>
      <xdr:colOff>266700</xdr:colOff>
      <xdr:row>29</xdr:row>
      <xdr:rowOff>47625</xdr:rowOff>
    </xdr:to>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19050</xdr:colOff>
      <xdr:row>2</xdr:row>
      <xdr:rowOff>0</xdr:rowOff>
    </xdr:from>
    <xdr:to>
      <xdr:col>18</xdr:col>
      <xdr:colOff>266700</xdr:colOff>
      <xdr:row>16</xdr:row>
      <xdr:rowOff>171449</xdr:rowOff>
    </xdr:to>
    <xdr:graphicFrame macro="">
      <xdr:nvGraphicFramePr>
        <xdr:cNvPr id="10" name="Chart 9">
          <a:extLst>
            <a:ext uri="{FF2B5EF4-FFF2-40B4-BE49-F238E27FC236}">
              <a16:creationId xmlns:a16="http://schemas.microsoft.com/office/drawing/2014/main" id="{876303C2-C33A-44B1-B5CF-2D70C84B27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523875</xdr:colOff>
      <xdr:row>16</xdr:row>
      <xdr:rowOff>161925</xdr:rowOff>
    </xdr:from>
    <xdr:to>
      <xdr:col>14</xdr:col>
      <xdr:colOff>161925</xdr:colOff>
      <xdr:row>29</xdr:row>
      <xdr:rowOff>66676</xdr:rowOff>
    </xdr:to>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18</xdr:col>
      <xdr:colOff>276226</xdr:colOff>
      <xdr:row>18</xdr:row>
      <xdr:rowOff>0</xdr:rowOff>
    </xdr:from>
    <xdr:to>
      <xdr:col>21</xdr:col>
      <xdr:colOff>9525</xdr:colOff>
      <xdr:row>23</xdr:row>
      <xdr:rowOff>76200</xdr:rowOff>
    </xdr:to>
    <mc:AlternateContent xmlns:mc="http://schemas.openxmlformats.org/markup-compatibility/2006">
      <mc:Choice xmlns:a14="http://schemas.microsoft.com/office/drawing/2010/main"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1229976" y="3429000"/>
              <a:ext cx="1419224" cy="1028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276225</xdr:colOff>
      <xdr:row>23</xdr:row>
      <xdr:rowOff>114301</xdr:rowOff>
    </xdr:from>
    <xdr:to>
      <xdr:col>21</xdr:col>
      <xdr:colOff>28575</xdr:colOff>
      <xdr:row>29</xdr:row>
      <xdr:rowOff>76200</xdr:rowOff>
    </xdr:to>
    <mc:AlternateContent xmlns:mc="http://schemas.openxmlformats.org/markup-compatibility/2006">
      <mc:Choice xmlns:a14="http://schemas.microsoft.com/office/drawing/2010/main" Requires="a14">
        <xdr:graphicFrame macro="">
          <xdr:nvGraphicFramePr>
            <xdr:cNvPr id="16" name="Tenure_Category">
              <a:extLst>
                <a:ext uri="{FF2B5EF4-FFF2-40B4-BE49-F238E27FC236}">
                  <a16:creationId xmlns:a16="http://schemas.microsoft.com/office/drawing/2014/main" id="{9B046E04-025E-C1AC-1677-E92A4262278E}"/>
                </a:ext>
              </a:extLst>
            </xdr:cNvPr>
            <xdr:cNvGraphicFramePr/>
          </xdr:nvGraphicFramePr>
          <xdr:xfrm>
            <a:off x="0" y="0"/>
            <a:ext cx="0" cy="0"/>
          </xdr:xfrm>
          <a:graphic>
            <a:graphicData uri="http://schemas.microsoft.com/office/drawing/2010/slicer">
              <sle:slicer xmlns:sle="http://schemas.microsoft.com/office/drawing/2010/slicer" name="Tenure_Category"/>
            </a:graphicData>
          </a:graphic>
        </xdr:graphicFrame>
      </mc:Choice>
      <mc:Fallback>
        <xdr:sp macro="" textlink="">
          <xdr:nvSpPr>
            <xdr:cNvPr id="0" name=""/>
            <xdr:cNvSpPr>
              <a:spLocks noTextEdit="1"/>
            </xdr:cNvSpPr>
          </xdr:nvSpPr>
          <xdr:spPr>
            <a:xfrm>
              <a:off x="11229975" y="4495801"/>
              <a:ext cx="1438275" cy="11048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945032175929" backgroundQuery="1" createdVersion="8" refreshedVersion="8" minRefreshableVersion="3" recordCount="0" supportSubquery="1" supportAdvancedDrill="1" xr:uid="{F4809CA9-BC8E-4F1C-920F-13D1BAF8A3C1}">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64" level="32767"/>
    <cacheField name="[Dim_Employee__1].[Experience_Level].[Experience_Level]" caption="Experience_Level" numFmtId="0" hierarchy="21" level="1">
      <sharedItems containsSemiMixedTypes="0" containsNonDate="0" containsString="0"/>
    </cacheField>
    <cacheField name="[Fact_Attrition].[Tenure_Category].[Tenure_Category]" caption="Tenure_Category" numFmtId="0" hierarchy="46" level="1">
      <sharedItems containsSemiMixedTypes="0" containsNonDate="0" containsString="0"/>
    </cacheField>
  </cacheFields>
  <cacheHierarchies count="78">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2"/>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fieldsUsage count="2">
        <fieldUsage x="-1"/>
        <fieldUsage x="3"/>
      </fieldsUsage>
    </cacheHierarchy>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6"/>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oneField="1">
      <fieldsUsage count="1">
        <fieldUsage x="1"/>
      </fieldsUsage>
      <extLst>
        <ext xmlns:x15="http://schemas.microsoft.com/office/spreadsheetml/2010/11/main" uri="{B97F6D7D-B522-45F9-BDA1-12C45D357490}">
          <x15:cacheHierarchy aggregatedColumn="47"/>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row]" caption="row"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945033449076" backgroundQuery="1" createdVersion="8" refreshedVersion="8" minRefreshableVersion="3" recordCount="0" supportSubquery="1" supportAdvancedDrill="1" xr:uid="{16AEED98-83CD-44C6-B5B6-BD11D242B5FD}">
  <cacheSource type="external" connectionId="6"/>
  <cacheFields count="7">
    <cacheField name="[Dim_Employee__1].[Department].[Department]" caption="Department" numFmtId="0" hierarchy="12" level="1">
      <sharedItems count="7">
        <s v="Customer Success"/>
        <s v="Engineering"/>
        <s v="Finance"/>
        <s v="HR"/>
        <s v="Marketing"/>
        <s v="Operations"/>
        <s v="Sales"/>
      </sharedItems>
    </cacheField>
    <cacheField name="[Measures].[Average of Environment_Satisfaction]" caption="Average of Environment_Satisfaction" numFmtId="0" hierarchy="56" level="32767"/>
    <cacheField name="[Measures].[Average of Job_Involvement]" caption="Average of Job_Involvement" numFmtId="0" hierarchy="57" level="32767"/>
    <cacheField name="[Measures].[Average of Work_Life_Balance]" caption="Average of Work_Life_Balance" numFmtId="0" hierarchy="58" level="32767"/>
    <cacheField name="[Measures].[Average of Relationship_Satisfaction]" caption="Average of Relationship_Satisfaction" numFmtId="0" hierarchy="63" level="32767"/>
    <cacheField name="[Dim_Employee__1].[Experience_Level].[Experience_Level]" caption="Experience_Level" numFmtId="0" hierarchy="21" level="1">
      <sharedItems containsSemiMixedTypes="0" containsNonDate="0" containsString="0"/>
    </cacheField>
    <cacheField name="[Fact_Attrition].[Tenure_Category].[Tenure_Category]" caption="Tenure_Category" numFmtId="0" hierarchy="46" level="1">
      <sharedItems containsSemiMixedTypes="0" containsNonDate="0" containsString="0"/>
    </cacheField>
  </cacheFields>
  <cacheHierarchies count="78">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5"/>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fieldsUsage count="2">
        <fieldUsage x="-1"/>
        <fieldUsage x="6"/>
      </fieldsUsage>
    </cacheHierarchy>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oneField="1">
      <fieldsUsage count="1">
        <fieldUsage x="1"/>
      </fieldsUsage>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oneField="1">
      <fieldsUsage count="1">
        <fieldUsage x="2"/>
      </fieldsUsage>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oneField="1">
      <fieldsUsage count="1">
        <fieldUsage x="3"/>
      </fieldsUsage>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6"/>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oneField="1">
      <fieldsUsage count="1">
        <fieldUsage x="4"/>
      </fieldsUsage>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7"/>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row]" caption="row"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945034722223" backgroundQuery="1" createdVersion="8" refreshedVersion="8" minRefreshableVersion="3" recordCount="0" supportSubquery="1" supportAdvancedDrill="1" xr:uid="{3237AEFD-A4A5-4B48-9247-F8E246B1F14B}">
  <cacheSource type="external" connectionId="6"/>
  <cacheFields count="5">
    <cacheField name="[Dim_Employee__1].[Department].[Department]" caption="Department" numFmtId="0" hierarchy="12" level="1">
      <sharedItems count="7">
        <s v="Customer Success"/>
        <s v="Engineering"/>
        <s v="Finance"/>
        <s v="HR"/>
        <s v="Marketing"/>
        <s v="Operations"/>
        <s v="Sales"/>
      </sharedItems>
    </cacheField>
    <cacheField name="[Measures].[Attrition Rate(%)]" caption="Attrition Rate(%)" numFmtId="0" hierarchy="66" level="32767"/>
    <cacheField name="[Measures].[Overtime Rate(%)]" caption="Overtime Rate(%)" numFmtId="0" hierarchy="68" level="32767"/>
    <cacheField name="[Dim_Employee__1].[Experience_Level].[Experience_Level]" caption="Experience_Level" numFmtId="0" hierarchy="21" level="1">
      <sharedItems containsSemiMixedTypes="0" containsNonDate="0" containsString="0"/>
    </cacheField>
    <cacheField name="[Fact_Attrition].[Tenure_Category].[Tenure_Category]" caption="Tenure_Category" numFmtId="0" hierarchy="46" level="1">
      <sharedItems containsSemiMixedTypes="0" containsNonDate="0" containsString="0"/>
    </cacheField>
  </cacheFields>
  <cacheHierarchies count="78">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fieldsUsage count="2">
        <fieldUsage x="-1"/>
        <fieldUsage x="4"/>
      </fieldsUsage>
    </cacheHierarchy>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6"/>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7"/>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Average Salary]" caption="Average Salary" measure="1" displayFolder="" measureGroup="Fact_Attrition" count="0"/>
    <cacheHierarchy uniqueName="[Measures].[Overtime Rate(%)]" caption="Overtime Rate(%)" measure="1" displayFolder="" measureGroup="Fact_Attrition" count="0" oneField="1">
      <fieldsUsage count="1">
        <fieldUsage x="2"/>
      </fieldsUsage>
    </cacheHierarchy>
    <cacheHierarchy uniqueName="[Measures].[row]" caption="row"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945035879631" backgroundQuery="1" createdVersion="8" refreshedVersion="8" minRefreshableVersion="3" recordCount="0" supportSubquery="1" supportAdvancedDrill="1" xr:uid="{1CBB4F05-7972-4AA4-B6A1-3076BCE5B747}">
  <cacheSource type="external" connectionId="6"/>
  <cacheFields count="5">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52" level="32767"/>
    <cacheField name="[Measures].[Average of YearsAtCompany]" caption="Average of YearsAtCompany" numFmtId="0" hierarchy="50" level="32767"/>
    <cacheField name="[Dim_Employee__1].[Experience_Level].[Experience_Level]" caption="Experience_Level" numFmtId="0" hierarchy="21" level="1">
      <sharedItems containsSemiMixedTypes="0" containsNonDate="0" containsString="0"/>
    </cacheField>
    <cacheField name="[Fact_Attrition].[Tenure_Category].[Tenure_Category]" caption="Tenure_Category" numFmtId="0" hierarchy="46" level="1">
      <sharedItems containsSemiMixedTypes="0" containsNonDate="0" containsString="0"/>
    </cacheField>
  </cacheFields>
  <cacheHierarchies count="78">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fieldsUsage count="2">
        <fieldUsage x="-1"/>
        <fieldUsage x="3"/>
      </fieldsUsage>
    </cacheHierarchy>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fieldsUsage count="2">
        <fieldUsage x="-1"/>
        <fieldUsage x="4"/>
      </fieldsUsage>
    </cacheHierarchy>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oneField="1">
      <fieldsUsage count="1">
        <fieldUsage x="2"/>
      </fieldsUsage>
      <extLst>
        <ext xmlns:x15="http://schemas.microsoft.com/office/spreadsheetml/2010/11/main" uri="{B97F6D7D-B522-45F9-BDA1-12C45D357490}">
          <x15:cacheHierarchy aggregatedColumn="42"/>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oneField="1">
      <fieldsUsage count="1">
        <fieldUsage x="1"/>
      </fieldsUsage>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6"/>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7"/>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row]" caption="row"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94503703704" backgroundQuery="1" createdVersion="8" refreshedVersion="8" minRefreshableVersion="3" recordCount="0" supportSubquery="1" supportAdvancedDrill="1" xr:uid="{18376E4F-C07F-4A96-BFB2-EA6711BB0B98}">
  <cacheSource type="external" connectionId="6"/>
  <cacheFields count="5">
    <cacheField name="[Dim_Employee__1].[Gender].[Gender]" caption="Gender" numFmtId="0" hierarchy="10" level="1">
      <sharedItems count="2">
        <s v="Female"/>
        <s v="Male"/>
      </sharedItems>
    </cacheField>
    <cacheField name="[Fact_Attrition].[Attrition_Status].[Attrition_Status]" caption="Attrition_Status" numFmtId="0" hierarchy="38" level="1">
      <sharedItems containsSemiMixedTypes="0" containsNonDate="0" containsString="0"/>
    </cacheField>
    <cacheField name="[Measures].[Count of Employee_ID 2]" caption="Count of Employee_ID 2" numFmtId="0" hierarchy="61" level="32767"/>
    <cacheField name="[Fact_Attrition].[Tenure_Category].[Tenure_Category]" caption="Tenure_Category" numFmtId="0" hierarchy="46" level="1">
      <sharedItems containsSemiMixedTypes="0" containsNonDate="0" containsString="0"/>
    </cacheField>
    <cacheField name="[Dim_Employee__1].[Department].[Department]" caption="Department" numFmtId="0" hierarchy="12" level="1">
      <sharedItems containsSemiMixedTypes="0" containsNonDate="0" containsString="0"/>
    </cacheField>
  </cacheFields>
  <cacheHierarchies count="78">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4"/>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fieldsUsage count="2">
        <fieldUsage x="-1"/>
        <fieldUsage x="3"/>
      </fieldsUsage>
    </cacheHierarchy>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fieldsUsage count="1">
        <fieldUsage x="2"/>
      </fieldsUsage>
      <extLst>
        <ext xmlns:x15="http://schemas.microsoft.com/office/spreadsheetml/2010/11/main" uri="{B97F6D7D-B522-45F9-BDA1-12C45D357490}">
          <x15:cacheHierarchy aggregatedColumn="36"/>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7"/>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row]" caption="row"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89.945031134259" backgroundQuery="1" createdVersion="3" refreshedVersion="8" minRefreshableVersion="3" recordCount="0" supportSubquery="1" supportAdvancedDrill="1" xr:uid="{BC46DDDD-5DE2-42A8-90A9-BAAE993E5190}">
  <cacheSource type="external" connectionId="6">
    <extLst>
      <ext xmlns:x14="http://schemas.microsoft.com/office/spreadsheetml/2009/9/main" uri="{F057638F-6D5F-4e77-A914-E7F072B9BCA8}">
        <x14:sourceConnection name="ThisWorkbookDataModel"/>
      </ext>
    </extLst>
  </cacheSource>
  <cacheFields count="0"/>
  <cacheHierarchies count="78">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0"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2"/>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5"/>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3"/>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2"/>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31"/>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6"/>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4"/>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7"/>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Average Salary]" caption="Average Salary" measure="1" displayFolder="" measureGroup="Fact_Attrition" count="0"/>
    <cacheHierarchy uniqueName="[Measures].[Overtime Rate(%)]" caption="Overtime Rate(%)" measure="1" displayFolder="" measureGroup="Fact_Attrition" count="0"/>
    <cacheHierarchy uniqueName="[Measures].[row]" caption="row"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41690117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1154"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1">
  <location ref="A3:B11" firstHeaderRow="1"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1166"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8">
  <location ref="A3:B6" firstHeaderRow="1" firstDataRow="1" firstDataCol="1" rowPageCount="1" colPageCount="1"/>
  <pivotFields count="5">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1">
    <pageField fld="1" hier="38"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1163"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8">
  <location ref="A3:C11" firstHeaderRow="0"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1">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5AD27A-AA42-400F-8091-2574D3107603}" name="PivotTable9" cacheId="1157" applyNumberFormats="0" applyBorderFormats="0" applyFontFormats="0" applyPatternFormats="0" applyAlignmentFormats="0" applyWidthHeightFormats="1" dataCaption="Values" tag="241bdeb9-92ff-4e5f-bef4-a953a5385d52" updatedVersion="8" minRefreshableVersion="3" useAutoFormatting="1" subtotalHiddenItems="1" itemPrintTitles="1" createdVersion="8" indent="0" outline="1" outlineData="1" multipleFieldFilters="0" chartFormat="35">
  <location ref="A3:E11" firstHeaderRow="0" firstDataRow="1" firstDataCol="1"/>
  <pivotFields count="7">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4">
    <i>
      <x/>
    </i>
    <i i="1">
      <x v="1"/>
    </i>
    <i i="2">
      <x v="2"/>
    </i>
    <i i="3">
      <x v="3"/>
    </i>
  </colItems>
  <dataFields count="4">
    <dataField name="Work-Life Balance" fld="3" subtotal="average" baseField="0" baseItem="0"/>
    <dataField name="Job Engagement" fld="2" subtotal="average" baseField="0" baseItem="0"/>
    <dataField name="Work Environment" fld="1" subtotal="average" baseField="0" baseItem="0"/>
    <dataField name="Work Relationships" fld="4" subtotal="average" baseField="0" baseItem="0"/>
  </dataFields>
  <formats count="1">
    <format dxfId="0">
      <pivotArea outline="0" collapsedLevelsAreSubtotals="1" fieldPosition="0"/>
    </format>
  </formats>
  <pivotHierarchies count="7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Life Balance"/>
    <pivotHierarchy dragToData="1"/>
    <pivotHierarchy dragToData="1"/>
    <pivotHierarchy dragToData="1"/>
    <pivotHierarchy dragToData="1"/>
    <pivotHierarchy dragToData="1" caption="Work Relationship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1160"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15" rowHeaderCaption="Department">
  <location ref="A3:C11" firstHeaderRow="0"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ttrition Rate(%)" fld="1" subtotal="count" baseField="0" baseItem="0"/>
    <dataField name="Overtime Rate(%)" fld="2" subtotal="count" baseField="0" baseItem="0"/>
  </dataFields>
  <chartFormats count="2">
    <chartFormat chart="7" format="7"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1"/>
          </reference>
        </references>
      </pivotArea>
    </chartFormat>
  </chartFormats>
  <pivotHierarchies count="7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Employee__1].[Experience_Level].&amp;[Juni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_Count"/>
    <pivotHierarchy dragToRow="0" dragToCol="0" dragToPage="0" dragToData="1" caption="Attrition Rate(%)"/>
    <pivotHierarchy dragToRow="0" dragToCol="0" dragToPage="0" dragToData="1"/>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5" name="PivotTable9"/>
    <pivotTable tabId="18" name="PivotTable11"/>
    <pivotTable tabId="13" name="PivotTable7"/>
  </pivotTables>
  <data>
    <olap pivotCacheId="416901179">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nure_Category" xr10:uid="{C12A20E6-DC76-4936-8E16-D41A6E2F20C7}" sourceName="[Fact_Attrition].[Tenure_Category]">
  <pivotTables>
    <pivotTable tabId="27" name="PivotTable12"/>
    <pivotTable tabId="15" name="PivotTable9"/>
    <pivotTable tabId="13" name="PivotTable7"/>
    <pivotTable tabId="18" name="PivotTable11"/>
    <pivotTable tabId="20" name="PivotTable1"/>
  </pivotTables>
  <data>
    <olap pivotCacheId="416901179">
      <levels count="2">
        <level uniqueName="[Fact_Attrition].[Tenure_Category].[(All)]" sourceCaption="(All)" count="0"/>
        <level uniqueName="[Fact_Attrition].[Tenure_Category].[Tenure_Category]" sourceCaption="Tenure_Category" count="3">
          <ranges>
            <range startItem="0">
              <i n="[Fact_Attrition].[Tenure_Category].&amp;[Early Tenure]" c="Early Tenure"/>
              <i n="[Fact_Attrition].[Tenure_Category].&amp;[Long Tenure]" c="Long Tenure"/>
              <i n="[Fact_Attrition].[Tenure_Category].&amp;[Mid Tenure]" c="Mid Tenure"/>
            </range>
          </ranges>
        </level>
      </levels>
      <selections count="1">
        <selection n="[Fact_Attrition].[Tenure_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level="1" style="SlicerStyleLight6" rowHeight="241300"/>
  <slicer name="Tenure_Category" xr10:uid="{C0FC2916-C692-485E-9B2C-386F10774EB9}" cache="Slicer_Tenure_Category" caption="Tenure Category"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28"/>
    <tableColumn id="2" xr3:uid="{84052E1B-5B0A-412B-9E93-92297232CA71}" uniqueName="2" name="Employee_ID" queryTableFieldId="2" dataDxfId="27"/>
    <tableColumn id="3" xr3:uid="{1070FF64-38D3-49BA-8D6A-044541B7A937}" uniqueName="3" name="Date_ID" queryTableFieldId="3" dataDxfId="26"/>
    <tableColumn id="4" xr3:uid="{6ED96138-2046-4D0C-9EBF-D58776E571E8}" uniqueName="4" name="Attrition_Status" queryTableFieldId="4" dataDxfId="25"/>
    <tableColumn id="5" xr3:uid="{B731C2B2-2466-4038-98B8-03C7C56B1DCE}" uniqueName="5" name="Attrition_Status_1" queryTableFieldId="5" dataDxfId="24"/>
    <tableColumn id="6" xr3:uid="{DBA68B2B-11BD-4583-8E94-039C337C64A4}" uniqueName="6" name="Monthly_Income" queryTableFieldId="6"/>
    <tableColumn id="7" xr3:uid="{F70A9823-0CF9-4C9B-8AB8-B4C835C13098}" uniqueName="7" name="OverTime" queryTableFieldId="7" dataDxfId="23"/>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22"/>
    <tableColumn id="2" xr3:uid="{042E6865-EE7E-4F5B-AF1D-496E92BB5E29}" uniqueName="2" name="Employee_ID" queryTableFieldId="2" dataDxfId="21"/>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20"/>
    <tableColumn id="2" xr3:uid="{0AEB8978-E8FE-4562-A988-85DA3FC22142}" uniqueName="2" name="Employee_ID" queryTableFieldId="2" dataDxfId="19"/>
    <tableColumn id="3" xr3:uid="{F5FB0E22-B9C4-498C-8743-3EDCDE6099C1}" uniqueName="3" name="Year" queryTableFieldId="3" dataDxfId="18"/>
    <tableColumn id="4" xr3:uid="{DF15CA23-22EB-448D-97C9-9569992DE9FB}" uniqueName="4" name="Performance_Rating" queryTableFieldId="4" dataDxfId="17"/>
    <tableColumn id="5" xr3:uid="{33FA9051-1DB4-4511-93D1-14B621C5B422}" uniqueName="5" name="Last_Promotion_Year" queryTableFieldId="5" dataDxfId="16"/>
    <tableColumn id="6" xr3:uid="{A70D4905-CD7F-4374-9923-257CBEDD4DE1}" uniqueName="6" name="Manager_Feedback" queryTableFieldId="6" dataDxfId="1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14"/>
    <tableColumn id="2" xr3:uid="{94A2F1D5-16E7-4E41-B409-238FF9E374F2}" uniqueName="2" name="Full_Name" queryTableFieldId="2" dataDxfId="13"/>
    <tableColumn id="3" xr3:uid="{73A3718B-65AF-430A-ACCF-C7568A3122A6}" uniqueName="3" name="Gender" queryTableFieldId="3" dataDxfId="12"/>
    <tableColumn id="4" xr3:uid="{22619D2D-AD3E-4212-82C0-E66F8FE23D17}" uniqueName="4" name="Age" queryTableFieldId="4"/>
    <tableColumn id="5" xr3:uid="{4744766D-7223-44F0-B08D-BE31F8E9AD98}" uniqueName="5" name="Department" queryTableFieldId="5" dataDxfId="11"/>
    <tableColumn id="6" xr3:uid="{8EEA061D-B2F3-4688-B950-2C2A6A4EF16B}" uniqueName="6" name="Job_Role" queryTableFieldId="6" dataDxfId="10"/>
    <tableColumn id="7" xr3:uid="{158F0EC3-EA28-49B3-9A66-BF3D1433A1C0}" uniqueName="7" name="Education_Level" queryTableFieldId="7" dataDxfId="9"/>
    <tableColumn id="8" xr3:uid="{441CE745-8687-46D5-8B81-2BADCA34A554}" uniqueName="8" name="Marital_Status" queryTableFieldId="8" dataDxfId="8"/>
    <tableColumn id="9" xr3:uid="{41BA9FE1-1D4A-487A-978F-BAF97E1C972F}" uniqueName="9" name="Hire_Date" queryTableFieldId="9" dataDxfId="7"/>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5"/>
    <tableColumn id="2" xr3:uid="{7A3EA04E-B891-4817-B74E-D4BE55806D2F}" uniqueName="2" name="Date" queryTableFieldId="2" dataDxfId="4"/>
    <tableColumn id="3" xr3:uid="{D7E12BFC-1F5E-4258-84FC-1D2E70DA8DE8}" uniqueName="3" name="Month" queryTableFieldId="3" dataDxfId="3"/>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workbookViewId="0">
      <selection activeCell="L8" sqref="L8"/>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3:B11"/>
  <sheetViews>
    <sheetView workbookViewId="0">
      <selection activeCell="D24" sqref="D24"/>
    </sheetView>
  </sheetViews>
  <sheetFormatPr defaultRowHeight="15" x14ac:dyDescent="0.25"/>
  <cols>
    <col min="1" max="1" width="16.85546875" bestFit="1" customWidth="1"/>
    <col min="2" max="2" width="21.85546875" bestFit="1" customWidth="1"/>
  </cols>
  <sheetData>
    <row r="3" spans="1:2" x14ac:dyDescent="0.25">
      <c r="A3" s="2" t="s">
        <v>2429</v>
      </c>
      <c r="B3" t="s">
        <v>2442</v>
      </c>
    </row>
    <row r="4" spans="1:2" x14ac:dyDescent="0.25">
      <c r="A4" s="3" t="s">
        <v>81</v>
      </c>
      <c r="B4" s="13">
        <v>0</v>
      </c>
    </row>
    <row r="5" spans="1:2" x14ac:dyDescent="0.25">
      <c r="A5" s="3" t="s">
        <v>178</v>
      </c>
      <c r="B5" s="13">
        <v>0</v>
      </c>
    </row>
    <row r="6" spans="1:2" x14ac:dyDescent="0.25">
      <c r="A6" s="3" t="s">
        <v>64</v>
      </c>
      <c r="B6" s="13">
        <v>1</v>
      </c>
    </row>
    <row r="7" spans="1:2" x14ac:dyDescent="0.25">
      <c r="A7" s="3" t="s">
        <v>114</v>
      </c>
      <c r="B7" s="13">
        <v>1</v>
      </c>
    </row>
    <row r="8" spans="1:2" x14ac:dyDescent="0.25">
      <c r="A8" s="3" t="s">
        <v>75</v>
      </c>
      <c r="B8" s="13">
        <v>1</v>
      </c>
    </row>
    <row r="9" spans="1:2" x14ac:dyDescent="0.25">
      <c r="A9" s="3" t="s">
        <v>91</v>
      </c>
      <c r="B9" s="13">
        <v>0</v>
      </c>
    </row>
    <row r="10" spans="1:2" x14ac:dyDescent="0.25">
      <c r="A10" s="3" t="s">
        <v>97</v>
      </c>
      <c r="B10" s="13">
        <v>0</v>
      </c>
    </row>
    <row r="11" spans="1:2" x14ac:dyDescent="0.25">
      <c r="A11" s="3" t="s">
        <v>2430</v>
      </c>
      <c r="B11" s="13">
        <v>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6"/>
  <sheetViews>
    <sheetView workbookViewId="0">
      <selection activeCell="C10" sqref="C10"/>
    </sheetView>
  </sheetViews>
  <sheetFormatPr defaultRowHeight="15" x14ac:dyDescent="0.25"/>
  <cols>
    <col min="1" max="1" width="15.140625" bestFit="1" customWidth="1"/>
    <col min="2" max="2" width="15" bestFit="1" customWidth="1"/>
    <col min="3" max="3" width="21" bestFit="1" customWidth="1"/>
  </cols>
  <sheetData>
    <row r="1" spans="1:2" x14ac:dyDescent="0.25">
      <c r="A1" s="2" t="s">
        <v>623</v>
      </c>
      <c r="B1" t="s" vm="1">
        <v>651</v>
      </c>
    </row>
    <row r="3" spans="1:2" x14ac:dyDescent="0.25">
      <c r="A3" s="2" t="s">
        <v>2429</v>
      </c>
      <c r="B3" t="s">
        <v>2437</v>
      </c>
    </row>
    <row r="4" spans="1:2" x14ac:dyDescent="0.25">
      <c r="A4" s="3" t="s">
        <v>63</v>
      </c>
      <c r="B4" s="8">
        <v>1</v>
      </c>
    </row>
    <row r="5" spans="1:2" x14ac:dyDescent="0.25">
      <c r="A5" s="3" t="s">
        <v>71</v>
      </c>
      <c r="B5" s="8">
        <v>2</v>
      </c>
    </row>
    <row r="6" spans="1:2" x14ac:dyDescent="0.25">
      <c r="A6" s="3" t="s">
        <v>2430</v>
      </c>
      <c r="B6" s="8">
        <v>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3:C11"/>
  <sheetViews>
    <sheetView workbookViewId="0">
      <selection activeCell="B3" sqref="B3"/>
    </sheetView>
  </sheetViews>
  <sheetFormatPr defaultRowHeight="15" x14ac:dyDescent="0.25"/>
  <cols>
    <col min="1" max="1" width="16.85546875" bestFit="1" customWidth="1"/>
    <col min="2" max="2" width="26.7109375" bestFit="1" customWidth="1"/>
    <col min="3" max="3" width="22.140625" bestFit="1" customWidth="1"/>
  </cols>
  <sheetData>
    <row r="3" spans="1:3" x14ac:dyDescent="0.25">
      <c r="A3" s="2" t="s">
        <v>2429</v>
      </c>
      <c r="B3" t="s">
        <v>2441</v>
      </c>
      <c r="C3" t="s">
        <v>2440</v>
      </c>
    </row>
    <row r="4" spans="1:3" x14ac:dyDescent="0.25">
      <c r="A4" s="3" t="s">
        <v>81</v>
      </c>
      <c r="B4" s="5">
        <v>3.8333333333333335</v>
      </c>
      <c r="C4" s="5">
        <v>3.5363507109004737</v>
      </c>
    </row>
    <row r="5" spans="1:3" x14ac:dyDescent="0.25">
      <c r="A5" s="3" t="s">
        <v>178</v>
      </c>
      <c r="B5" s="5">
        <v>3.9333333333333331</v>
      </c>
      <c r="C5" s="5">
        <v>3.8959627329192545</v>
      </c>
    </row>
    <row r="6" spans="1:3" x14ac:dyDescent="0.25">
      <c r="A6" s="3" t="s">
        <v>64</v>
      </c>
      <c r="B6" s="5">
        <v>3.7916666666666665</v>
      </c>
      <c r="C6" s="5">
        <v>4.9503968253968251</v>
      </c>
    </row>
    <row r="7" spans="1:3" x14ac:dyDescent="0.25">
      <c r="A7" s="3" t="s">
        <v>114</v>
      </c>
      <c r="B7" s="5">
        <v>3.5925925925925926</v>
      </c>
      <c r="C7" s="5">
        <v>4.8202463054187188</v>
      </c>
    </row>
    <row r="8" spans="1:3" x14ac:dyDescent="0.25">
      <c r="A8" s="3" t="s">
        <v>75</v>
      </c>
      <c r="B8" s="5">
        <v>3.5641025641025643</v>
      </c>
      <c r="C8" s="5">
        <v>5.3426023391812869</v>
      </c>
    </row>
    <row r="9" spans="1:3" x14ac:dyDescent="0.25">
      <c r="A9" s="3" t="s">
        <v>91</v>
      </c>
      <c r="B9" s="5">
        <v>3.8095238095238093</v>
      </c>
      <c r="C9" s="5">
        <v>5.3366533864541834</v>
      </c>
    </row>
    <row r="10" spans="1:3" x14ac:dyDescent="0.25">
      <c r="A10" s="3" t="s">
        <v>97</v>
      </c>
      <c r="B10" s="5">
        <v>3.6388888888888888</v>
      </c>
      <c r="C10" s="5">
        <v>4.5055437665782492</v>
      </c>
    </row>
    <row r="11" spans="1:3" x14ac:dyDescent="0.25">
      <c r="A11" s="3" t="s">
        <v>2430</v>
      </c>
      <c r="B11" s="5">
        <v>3.7</v>
      </c>
      <c r="C11" s="5">
        <v>4.71045631608236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1BCCF-CB92-4956-A027-CFF0A5500B7D}">
  <dimension ref="A3:F21"/>
  <sheetViews>
    <sheetView topLeftCell="A2" zoomScale="102" workbookViewId="0">
      <selection activeCell="H25" sqref="H25"/>
    </sheetView>
  </sheetViews>
  <sheetFormatPr defaultRowHeight="15" x14ac:dyDescent="0.25"/>
  <cols>
    <col min="1" max="1" width="16.85546875" bestFit="1" customWidth="1"/>
    <col min="2" max="2" width="17.42578125" bestFit="1" customWidth="1"/>
    <col min="3" max="3" width="15.5703125" bestFit="1" customWidth="1"/>
    <col min="4" max="4" width="18" bestFit="1" customWidth="1"/>
    <col min="5" max="5" width="18.5703125" bestFit="1" customWidth="1"/>
    <col min="6" max="6" width="23.42578125" bestFit="1" customWidth="1"/>
    <col min="7" max="7" width="16.85546875" bestFit="1" customWidth="1"/>
    <col min="8" max="8" width="17.28515625" bestFit="1" customWidth="1"/>
    <col min="9" max="9" width="15.5703125" bestFit="1" customWidth="1"/>
    <col min="10" max="10" width="17.85546875" bestFit="1" customWidth="1"/>
    <col min="11" max="11" width="18.42578125" bestFit="1" customWidth="1"/>
    <col min="12" max="12" width="23.42578125" bestFit="1" customWidth="1"/>
  </cols>
  <sheetData>
    <row r="3" spans="1:6" x14ac:dyDescent="0.25">
      <c r="A3" s="2" t="s">
        <v>2429</v>
      </c>
      <c r="B3" t="s">
        <v>2432</v>
      </c>
      <c r="C3" t="s">
        <v>2434</v>
      </c>
      <c r="D3" t="s">
        <v>2433</v>
      </c>
      <c r="E3" t="s">
        <v>2435</v>
      </c>
      <c r="F3" s="7" t="s">
        <v>2436</v>
      </c>
    </row>
    <row r="4" spans="1:6" x14ac:dyDescent="0.25">
      <c r="A4" s="3" t="s">
        <v>81</v>
      </c>
      <c r="B4" s="5">
        <v>3.1111111111111112</v>
      </c>
      <c r="C4" s="5">
        <v>2.9444444444444446</v>
      </c>
      <c r="D4" s="5">
        <v>2.7222222222222223</v>
      </c>
      <c r="E4" s="5">
        <v>2.7222222222222223</v>
      </c>
      <c r="F4" s="10">
        <f>AVERAGE(B4:E4)</f>
        <v>2.875</v>
      </c>
    </row>
    <row r="5" spans="1:6" x14ac:dyDescent="0.25">
      <c r="A5" s="3" t="s">
        <v>178</v>
      </c>
      <c r="B5" s="5">
        <v>2.8</v>
      </c>
      <c r="C5" s="5">
        <v>3.0666666666666669</v>
      </c>
      <c r="D5" s="5">
        <v>3.0666666666666669</v>
      </c>
      <c r="E5" s="5">
        <v>2.6666666666666665</v>
      </c>
      <c r="F5" s="10">
        <f t="shared" ref="F5:F11" si="0">AVERAGE(B5:E5)</f>
        <v>2.9</v>
      </c>
    </row>
    <row r="6" spans="1:6" x14ac:dyDescent="0.25">
      <c r="A6" s="3" t="s">
        <v>64</v>
      </c>
      <c r="B6" s="5">
        <v>2.7916666666666665</v>
      </c>
      <c r="C6" s="5">
        <v>2.8333333333333335</v>
      </c>
      <c r="D6" s="5">
        <v>2.5833333333333335</v>
      </c>
      <c r="E6" s="5">
        <v>2.3333333333333335</v>
      </c>
      <c r="F6" s="10">
        <f t="shared" si="0"/>
        <v>2.635416666666667</v>
      </c>
    </row>
    <row r="7" spans="1:6" x14ac:dyDescent="0.25">
      <c r="A7" s="3" t="s">
        <v>114</v>
      </c>
      <c r="B7" s="5">
        <v>2.7037037037037037</v>
      </c>
      <c r="C7" s="5">
        <v>3.0370370370370372</v>
      </c>
      <c r="D7" s="5">
        <v>2.2222222222222223</v>
      </c>
      <c r="E7" s="5">
        <v>2.7407407407407409</v>
      </c>
      <c r="F7" s="10">
        <f t="shared" si="0"/>
        <v>2.675925925925926</v>
      </c>
    </row>
    <row r="8" spans="1:6" x14ac:dyDescent="0.25">
      <c r="A8" s="3" t="s">
        <v>75</v>
      </c>
      <c r="B8" s="5">
        <v>2.3333333333333335</v>
      </c>
      <c r="C8" s="5">
        <v>2.7692307692307692</v>
      </c>
      <c r="D8" s="5">
        <v>2.4615384615384617</v>
      </c>
      <c r="E8" s="5">
        <v>2.1794871794871793</v>
      </c>
      <c r="F8" s="10">
        <f t="shared" si="0"/>
        <v>2.4358974358974357</v>
      </c>
    </row>
    <row r="9" spans="1:6" x14ac:dyDescent="0.25">
      <c r="A9" s="3" t="s">
        <v>91</v>
      </c>
      <c r="B9" s="5">
        <v>2.8571428571428572</v>
      </c>
      <c r="C9" s="5">
        <v>3.1428571428571428</v>
      </c>
      <c r="D9" s="5">
        <v>2.6666666666666665</v>
      </c>
      <c r="E9" s="5">
        <v>2.5714285714285716</v>
      </c>
      <c r="F9" s="10">
        <f t="shared" si="0"/>
        <v>2.8095238095238093</v>
      </c>
    </row>
    <row r="10" spans="1:6" x14ac:dyDescent="0.25">
      <c r="A10" s="3" t="s">
        <v>97</v>
      </c>
      <c r="B10" s="5">
        <v>2.5833333333333335</v>
      </c>
      <c r="C10" s="5">
        <v>2.8055555555555554</v>
      </c>
      <c r="D10" s="5">
        <v>2.5277777777777777</v>
      </c>
      <c r="E10" s="5">
        <v>2.6666666666666665</v>
      </c>
      <c r="F10" s="10">
        <f t="shared" si="0"/>
        <v>2.6458333333333335</v>
      </c>
    </row>
    <row r="11" spans="1:6" x14ac:dyDescent="0.25">
      <c r="A11" s="3" t="s">
        <v>2430</v>
      </c>
      <c r="B11" s="5">
        <v>2.6777777777777776</v>
      </c>
      <c r="C11" s="5">
        <v>2.911111111111111</v>
      </c>
      <c r="D11" s="5">
        <v>2.5555555555555554</v>
      </c>
      <c r="E11" s="5">
        <v>2.5222222222222221</v>
      </c>
      <c r="F11" s="9">
        <f t="shared" si="0"/>
        <v>2.6666666666666665</v>
      </c>
    </row>
    <row r="14" spans="1:6" x14ac:dyDescent="0.25">
      <c r="A14" s="11" t="s">
        <v>2429</v>
      </c>
      <c r="B14" s="11" t="s">
        <v>2432</v>
      </c>
      <c r="C14" s="11" t="s">
        <v>2434</v>
      </c>
      <c r="D14" s="11" t="s">
        <v>2433</v>
      </c>
      <c r="E14" s="11" t="s">
        <v>2435</v>
      </c>
      <c r="F14" s="11" t="s">
        <v>2436</v>
      </c>
    </row>
    <row r="15" spans="1:6" x14ac:dyDescent="0.25">
      <c r="A15" s="11" t="s">
        <v>81</v>
      </c>
      <c r="B15" s="12">
        <v>3.1111111111111112</v>
      </c>
      <c r="C15" s="12">
        <v>2.9444444444444446</v>
      </c>
      <c r="D15" s="12">
        <v>2.7222222222222223</v>
      </c>
      <c r="E15" s="12">
        <v>2.7222222222222223</v>
      </c>
      <c r="F15" s="12">
        <v>2.875</v>
      </c>
    </row>
    <row r="16" spans="1:6" x14ac:dyDescent="0.25">
      <c r="A16" s="11" t="s">
        <v>178</v>
      </c>
      <c r="B16" s="12">
        <v>2.8</v>
      </c>
      <c r="C16" s="12">
        <v>3.0666666666666669</v>
      </c>
      <c r="D16" s="12">
        <v>3.0666666666666669</v>
      </c>
      <c r="E16" s="12">
        <v>2.6666666666666665</v>
      </c>
      <c r="F16" s="12">
        <v>2.9</v>
      </c>
    </row>
    <row r="17" spans="1:6" x14ac:dyDescent="0.25">
      <c r="A17" s="11" t="s">
        <v>64</v>
      </c>
      <c r="B17" s="12">
        <v>2.7916666666666665</v>
      </c>
      <c r="C17" s="12">
        <v>2.8333333333333335</v>
      </c>
      <c r="D17" s="12">
        <v>2.5833333333333335</v>
      </c>
      <c r="E17" s="12">
        <v>2.3333333333333335</v>
      </c>
      <c r="F17" s="12">
        <v>2.635416666666667</v>
      </c>
    </row>
    <row r="18" spans="1:6" x14ac:dyDescent="0.25">
      <c r="A18" s="11" t="s">
        <v>114</v>
      </c>
      <c r="B18" s="12">
        <v>2.7037037037037037</v>
      </c>
      <c r="C18" s="12">
        <v>3.0370370370370372</v>
      </c>
      <c r="D18" s="12">
        <v>2.2222222222222223</v>
      </c>
      <c r="E18" s="12">
        <v>2.7407407407407409</v>
      </c>
      <c r="F18" s="12">
        <v>2.675925925925926</v>
      </c>
    </row>
    <row r="19" spans="1:6" x14ac:dyDescent="0.25">
      <c r="A19" s="11" t="s">
        <v>75</v>
      </c>
      <c r="B19" s="12">
        <v>2.3333333333333335</v>
      </c>
      <c r="C19" s="12">
        <v>2.7692307692307692</v>
      </c>
      <c r="D19" s="12">
        <v>2.4615384615384617</v>
      </c>
      <c r="E19" s="12">
        <v>2.1794871794871793</v>
      </c>
      <c r="F19" s="12">
        <v>2.4358974358974357</v>
      </c>
    </row>
    <row r="20" spans="1:6" x14ac:dyDescent="0.25">
      <c r="A20" s="11" t="s">
        <v>91</v>
      </c>
      <c r="B20" s="12">
        <v>2.8571428571428572</v>
      </c>
      <c r="C20" s="12">
        <v>3.1428571428571428</v>
      </c>
      <c r="D20" s="12">
        <v>2.6666666666666665</v>
      </c>
      <c r="E20" s="12">
        <v>2.5714285714285716</v>
      </c>
      <c r="F20" s="12">
        <v>2.8095238095238093</v>
      </c>
    </row>
    <row r="21" spans="1:6" x14ac:dyDescent="0.25">
      <c r="A21" s="11" t="s">
        <v>97</v>
      </c>
      <c r="B21" s="12">
        <v>2.5833333333333335</v>
      </c>
      <c r="C21" s="12">
        <v>2.8055555555555554</v>
      </c>
      <c r="D21" s="12">
        <v>2.5277777777777777</v>
      </c>
      <c r="E21" s="12">
        <v>2.6666666666666665</v>
      </c>
      <c r="F21" s="12">
        <v>2.6458333333333335</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3:G11"/>
  <sheetViews>
    <sheetView workbookViewId="0">
      <selection activeCell="C3" sqref="C3"/>
    </sheetView>
  </sheetViews>
  <sheetFormatPr defaultRowHeight="15" x14ac:dyDescent="0.25"/>
  <cols>
    <col min="1" max="1" width="16.85546875" bestFit="1" customWidth="1"/>
    <col min="2" max="2" width="16.140625" bestFit="1" customWidth="1"/>
    <col min="3" max="3" width="17" bestFit="1" customWidth="1"/>
    <col min="4" max="4" width="17.7109375" bestFit="1" customWidth="1"/>
  </cols>
  <sheetData>
    <row r="3" spans="1:7" x14ac:dyDescent="0.25">
      <c r="A3" s="2" t="s">
        <v>53</v>
      </c>
      <c r="B3" t="s">
        <v>2438</v>
      </c>
      <c r="C3" t="s">
        <v>2439</v>
      </c>
    </row>
    <row r="4" spans="1:7" x14ac:dyDescent="0.25">
      <c r="A4" s="3" t="s">
        <v>81</v>
      </c>
      <c r="B4" s="4"/>
      <c r="C4" s="4">
        <v>9.4786729857819907</v>
      </c>
    </row>
    <row r="5" spans="1:7" x14ac:dyDescent="0.25">
      <c r="A5" s="3" t="s">
        <v>178</v>
      </c>
      <c r="B5" s="4"/>
      <c r="C5" s="4">
        <v>10.559006211180124</v>
      </c>
    </row>
    <row r="6" spans="1:7" x14ac:dyDescent="0.25">
      <c r="A6" s="3" t="s">
        <v>64</v>
      </c>
      <c r="B6" s="4">
        <v>0.3968253968253968</v>
      </c>
      <c r="C6" s="4">
        <v>5.9523809523809517</v>
      </c>
    </row>
    <row r="7" spans="1:7" x14ac:dyDescent="0.25">
      <c r="A7" s="3" t="s">
        <v>114</v>
      </c>
      <c r="B7" s="4">
        <v>0.49261083743842365</v>
      </c>
      <c r="C7" s="4">
        <v>2.4630541871921183</v>
      </c>
      <c r="G7" t="s">
        <v>2431</v>
      </c>
    </row>
    <row r="8" spans="1:7" x14ac:dyDescent="0.25">
      <c r="A8" s="3" t="s">
        <v>75</v>
      </c>
      <c r="B8" s="4">
        <v>0.29239766081871343</v>
      </c>
      <c r="C8" s="4">
        <v>8.7719298245614024</v>
      </c>
    </row>
    <row r="9" spans="1:7" x14ac:dyDescent="0.25">
      <c r="A9" s="3" t="s">
        <v>91</v>
      </c>
      <c r="B9" s="4"/>
      <c r="C9" s="4">
        <v>4.7808764940239046</v>
      </c>
    </row>
    <row r="10" spans="1:7" x14ac:dyDescent="0.25">
      <c r="A10" s="3" t="s">
        <v>97</v>
      </c>
      <c r="B10" s="4"/>
      <c r="C10" s="4">
        <v>11.936339522546419</v>
      </c>
    </row>
    <row r="11" spans="1:7" x14ac:dyDescent="0.25">
      <c r="A11" s="3" t="s">
        <v>2430</v>
      </c>
      <c r="B11" s="4">
        <v>0.1669449081803005</v>
      </c>
      <c r="C11" s="4">
        <v>8.013355592654424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2"/>
  <sheetViews>
    <sheetView showGridLines="0" tabSelected="1" zoomScaleNormal="100" workbookViewId="0">
      <selection activeCell="T12" sqref="T12"/>
    </sheetView>
  </sheetViews>
  <sheetFormatPr defaultRowHeight="15" x14ac:dyDescent="0.25"/>
  <cols>
    <col min="13" max="13" width="8.85546875" customWidth="1"/>
    <col min="21" max="21" width="7" customWidth="1"/>
  </cols>
  <sheetData>
    <row r="1" spans="1:21" x14ac:dyDescent="0.25">
      <c r="A1" s="6" t="s">
        <v>2443</v>
      </c>
      <c r="B1" s="6"/>
      <c r="C1" s="6"/>
      <c r="D1" s="6"/>
      <c r="E1" s="6"/>
      <c r="F1" s="6"/>
      <c r="G1" s="6"/>
      <c r="H1" s="6"/>
      <c r="I1" s="6"/>
      <c r="J1" s="6"/>
      <c r="K1" s="6"/>
      <c r="L1" s="6"/>
      <c r="M1" s="6"/>
      <c r="N1" s="6"/>
      <c r="O1" s="6"/>
      <c r="P1" s="6"/>
      <c r="Q1" s="6"/>
      <c r="R1" s="6"/>
      <c r="S1" s="6"/>
      <c r="T1" s="6"/>
      <c r="U1" s="6"/>
    </row>
    <row r="2" spans="1:21" x14ac:dyDescent="0.25">
      <c r="A2" s="6"/>
      <c r="B2" s="6"/>
      <c r="C2" s="6"/>
      <c r="D2" s="6"/>
      <c r="E2" s="6"/>
      <c r="F2" s="6"/>
      <c r="G2" s="6"/>
      <c r="H2" s="6"/>
      <c r="I2" s="6"/>
      <c r="J2" s="6"/>
      <c r="K2" s="6"/>
      <c r="L2" s="6"/>
      <c r="M2" s="6"/>
      <c r="N2" s="6"/>
      <c r="O2" s="6"/>
      <c r="P2" s="6"/>
      <c r="Q2" s="6"/>
      <c r="R2" s="6"/>
      <c r="S2" s="6"/>
      <c r="T2" s="6"/>
      <c r="U2" s="6"/>
    </row>
  </sheetData>
  <mergeCells count="1">
    <mergeCell ref="A1:U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Props1.xml><?xml version="1.0" encoding="utf-8"?>
<ds:datastoreItem xmlns:ds="http://schemas.openxmlformats.org/officeDocument/2006/customXml" ds:itemID="{DE4574EE-B164-4F6F-B2BF-7FFB1B147A8F}">
  <ds:schemaRefs/>
</ds:datastoreItem>
</file>

<file path=customXml/itemProps2.xml><?xml version="1.0" encoding="utf-8"?>
<ds:datastoreItem xmlns:ds="http://schemas.openxmlformats.org/officeDocument/2006/customXml" ds:itemID="{B01C8C6A-4219-459E-A5DA-16258105C774}">
  <ds:schemaRefs/>
</ds:datastoreItem>
</file>

<file path=customXml/itemProps3.xml><?xml version="1.0" encoding="utf-8"?>
<ds:datastoreItem xmlns:ds="http://schemas.openxmlformats.org/officeDocument/2006/customXml" ds:itemID="{07DBC09F-CF42-4C2E-B72E-03BCE5C88588}">
  <ds:schemaRefs/>
</ds:datastoreItem>
</file>

<file path=customXml/itemProps4.xml><?xml version="1.0" encoding="utf-8"?>
<ds:datastoreItem xmlns:ds="http://schemas.openxmlformats.org/officeDocument/2006/customXml" ds:itemID="{1371FE68-6078-43FF-8B74-2A7FA9B02E50}">
  <ds:schemaRefs/>
</ds:datastoreItem>
</file>

<file path=customXml/itemProps5.xml><?xml version="1.0" encoding="utf-8"?>
<ds:datastoreItem xmlns:ds="http://schemas.openxmlformats.org/officeDocument/2006/customXml" ds:itemID="{DD3EB15F-1600-4915-ADAE-2D899563A377}">
  <ds:schemaRefs/>
</ds:datastoreItem>
</file>

<file path=customXml/itemProps6.xml><?xml version="1.0" encoding="utf-8"?>
<ds:datastoreItem xmlns:ds="http://schemas.openxmlformats.org/officeDocument/2006/customXml" ds:itemID="{9296BEE2-B6BF-4BE0-BBB2-D5A6DEE19240}">
  <ds:schemaRefs/>
</ds:datastoreItem>
</file>

<file path=customXml/itemProps7.xml><?xml version="1.0" encoding="utf-8"?>
<ds:datastoreItem xmlns:ds="http://schemas.openxmlformats.org/officeDocument/2006/customXml" ds:itemID="{833B9B79-CF41-44A2-8D2E-76FB9FCC4053}">
  <ds:schemaRefs/>
</ds:datastoreItem>
</file>

<file path=customXml/itemProps8.xml><?xml version="1.0" encoding="utf-8"?>
<ds:datastoreItem xmlns:ds="http://schemas.openxmlformats.org/officeDocument/2006/customXml" ds:itemID="{424F5F19-59B3-4FF7-A643-18D28771499B}">
  <ds:schemaRefs/>
</ds:datastoreItem>
</file>

<file path=customXml/itemProps9.xml><?xml version="1.0" encoding="utf-8"?>
<ds:datastoreItem xmlns:ds="http://schemas.openxmlformats.org/officeDocument/2006/customXml" ds:itemID="{BDE6B995-72E0-4211-8E8C-2B81B462BC63}">
  <ds:schemaRefs/>
</ds:datastoreItem>
</file>

<file path=customXml/itemProps10.xml><?xml version="1.0" encoding="utf-8"?>
<ds:datastoreItem xmlns:ds="http://schemas.openxmlformats.org/officeDocument/2006/customXml" ds:itemID="{C51036B2-ABB9-4150-AA3D-45A518240084}">
  <ds:schemaRefs/>
</ds:datastoreItem>
</file>

<file path=customXml/itemProps11.xml><?xml version="1.0" encoding="utf-8"?>
<ds:datastoreItem xmlns:ds="http://schemas.openxmlformats.org/officeDocument/2006/customXml" ds:itemID="{C5C43894-5394-4F7B-97B8-72240AE7BBC6}">
  <ds:schemaRefs/>
</ds:datastoreItem>
</file>

<file path=customXml/itemProps12.xml><?xml version="1.0" encoding="utf-8"?>
<ds:datastoreItem xmlns:ds="http://schemas.openxmlformats.org/officeDocument/2006/customXml" ds:itemID="{31162E4D-DB71-4B24-AB80-C011289427D8}">
  <ds:schemaRefs>
    <ds:schemaRef ds:uri="http://schemas.microsoft.com/DataMashup"/>
  </ds:schemaRefs>
</ds:datastoreItem>
</file>

<file path=customXml/itemProps13.xml><?xml version="1.0" encoding="utf-8"?>
<ds:datastoreItem xmlns:ds="http://schemas.openxmlformats.org/officeDocument/2006/customXml" ds:itemID="{15897152-5877-4429-9BF5-635043264F96}">
  <ds:schemaRefs/>
</ds:datastoreItem>
</file>

<file path=customXml/itemProps14.xml><?xml version="1.0" encoding="utf-8"?>
<ds:datastoreItem xmlns:ds="http://schemas.openxmlformats.org/officeDocument/2006/customXml" ds:itemID="{7F51DC5D-789A-4D15-BB71-1B959C8E2DD0}">
  <ds:schemaRefs/>
</ds:datastoreItem>
</file>

<file path=customXml/itemProps15.xml><?xml version="1.0" encoding="utf-8"?>
<ds:datastoreItem xmlns:ds="http://schemas.openxmlformats.org/officeDocument/2006/customXml" ds:itemID="{3D5C071D-88FB-4965-BFA3-A0C6D5660631}">
  <ds:schemaRefs/>
</ds:datastoreItem>
</file>

<file path=customXml/itemProps16.xml><?xml version="1.0" encoding="utf-8"?>
<ds:datastoreItem xmlns:ds="http://schemas.openxmlformats.org/officeDocument/2006/customXml" ds:itemID="{FAADF826-022A-439B-927B-0C51F726B9D9}">
  <ds:schemaRefs/>
</ds:datastoreItem>
</file>

<file path=customXml/itemProps17.xml><?xml version="1.0" encoding="utf-8"?>
<ds:datastoreItem xmlns:ds="http://schemas.openxmlformats.org/officeDocument/2006/customXml" ds:itemID="{C8503633-22A2-4826-BB6D-439BC6C71CC6}">
  <ds:schemaRefs/>
</ds:datastoreItem>
</file>

<file path=customXml/itemProps18.xml><?xml version="1.0" encoding="utf-8"?>
<ds:datastoreItem xmlns:ds="http://schemas.openxmlformats.org/officeDocument/2006/customXml" ds:itemID="{976F596A-6456-4243-99DC-8EE56DFA0D8E}">
  <ds:schemaRefs/>
</ds:datastoreItem>
</file>

<file path=customXml/itemProps19.xml><?xml version="1.0" encoding="utf-8"?>
<ds:datastoreItem xmlns:ds="http://schemas.openxmlformats.org/officeDocument/2006/customXml" ds:itemID="{25B09D10-BA56-4491-9620-9FDE5ECB0EA2}">
  <ds:schemaRefs/>
</ds:datastoreItem>
</file>

<file path=customXml/itemProps20.xml><?xml version="1.0" encoding="utf-8"?>
<ds:datastoreItem xmlns:ds="http://schemas.openxmlformats.org/officeDocument/2006/customXml" ds:itemID="{CFD5613B-37FB-466A-AD76-7FFFD39D2D52}">
  <ds:schemaRefs/>
</ds:datastoreItem>
</file>

<file path=customXml/itemProps21.xml><?xml version="1.0" encoding="utf-8"?>
<ds:datastoreItem xmlns:ds="http://schemas.openxmlformats.org/officeDocument/2006/customXml" ds:itemID="{6CB4D760-3ED2-4B98-B395-8091C6D0869D}">
  <ds:schemaRefs/>
</ds:datastoreItem>
</file>

<file path=customXml/itemProps22.xml><?xml version="1.0" encoding="utf-8"?>
<ds:datastoreItem xmlns:ds="http://schemas.openxmlformats.org/officeDocument/2006/customXml" ds:itemID="{7AE95116-494E-4D5A-8AE1-2CAF8CE7E2F3}">
  <ds:schemaRefs/>
</ds:datastoreItem>
</file>

<file path=customXml/itemProps23.xml><?xml version="1.0" encoding="utf-8"?>
<ds:datastoreItem xmlns:ds="http://schemas.openxmlformats.org/officeDocument/2006/customXml" ds:itemID="{D9A0969D-9BBE-4014-BB16-EE8E69FE1771}">
  <ds:schemaRefs/>
</ds:datastoreItem>
</file>

<file path=customXml/itemProps24.xml><?xml version="1.0" encoding="utf-8"?>
<ds:datastoreItem xmlns:ds="http://schemas.openxmlformats.org/officeDocument/2006/customXml" ds:itemID="{FA11F112-373E-4910-9114-0B0E4BD2E903}">
  <ds:schemaRefs/>
</ds:datastoreItem>
</file>

<file path=customXml/itemProps25.xml><?xml version="1.0" encoding="utf-8"?>
<ds:datastoreItem xmlns:ds="http://schemas.openxmlformats.org/officeDocument/2006/customXml" ds:itemID="{DCD3CB5F-C666-4C76-B134-E91CA7181CAC}">
  <ds:schemaRefs/>
</ds:datastoreItem>
</file>

<file path=customXml/itemProps26.xml><?xml version="1.0" encoding="utf-8"?>
<ds:datastoreItem xmlns:ds="http://schemas.openxmlformats.org/officeDocument/2006/customXml" ds:itemID="{179B9E8C-EE97-4023-A01E-818B0F407198}">
  <ds:schemaRefs/>
</ds:datastoreItem>
</file>

<file path=customXml/itemProps27.xml><?xml version="1.0" encoding="utf-8"?>
<ds:datastoreItem xmlns:ds="http://schemas.openxmlformats.org/officeDocument/2006/customXml" ds:itemID="{962478AA-B66B-4337-AF9D-D1A8B20362DB}">
  <ds:schemaRefs/>
</ds:datastoreItem>
</file>

<file path=customXml/itemProps28.xml><?xml version="1.0" encoding="utf-8"?>
<ds:datastoreItem xmlns:ds="http://schemas.openxmlformats.org/officeDocument/2006/customXml" ds:itemID="{E7B82D1D-C5BA-48DC-AFDB-DFCFE28DC452}">
  <ds:schemaRefs/>
</ds:datastoreItem>
</file>

<file path=customXml/itemProps29.xml><?xml version="1.0" encoding="utf-8"?>
<ds:datastoreItem xmlns:ds="http://schemas.openxmlformats.org/officeDocument/2006/customXml" ds:itemID="{E64802F4-BA84-4E2B-980F-547E62FE7005}">
  <ds:schemaRefs/>
</ds:datastoreItem>
</file>

<file path=customXml/itemProps30.xml><?xml version="1.0" encoding="utf-8"?>
<ds:datastoreItem xmlns:ds="http://schemas.openxmlformats.org/officeDocument/2006/customXml" ds:itemID="{6DA73A81-BFB9-4F66-9A75-249E434599D6}">
  <ds:schemaRefs/>
</ds:datastoreItem>
</file>

<file path=customXml/itemProps31.xml><?xml version="1.0" encoding="utf-8"?>
<ds:datastoreItem xmlns:ds="http://schemas.openxmlformats.org/officeDocument/2006/customXml" ds:itemID="{065D1B49-E242-47AB-92AA-F92F0AF66CE6}">
  <ds:schemaRefs/>
</ds:datastoreItem>
</file>

<file path=customXml/itemProps32.xml><?xml version="1.0" encoding="utf-8"?>
<ds:datastoreItem xmlns:ds="http://schemas.openxmlformats.org/officeDocument/2006/customXml" ds:itemID="{A16F34D0-D257-4B6B-84D5-74C7F431C633}">
  <ds:schemaRefs/>
</ds:datastoreItem>
</file>

<file path=customXml/itemProps33.xml><?xml version="1.0" encoding="utf-8"?>
<ds:datastoreItem xmlns:ds="http://schemas.openxmlformats.org/officeDocument/2006/customXml" ds:itemID="{769EAD30-775E-487C-BBC7-26E253726FAE}">
  <ds:schemaRefs/>
</ds:datastoreItem>
</file>

<file path=customXml/itemProps34.xml><?xml version="1.0" encoding="utf-8"?>
<ds:datastoreItem xmlns:ds="http://schemas.openxmlformats.org/officeDocument/2006/customXml" ds:itemID="{771DFAB1-1516-42C6-908B-7524AE8C36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Fact_Attrition</vt:lpstr>
      <vt:lpstr>Dim_Satisfaction</vt:lpstr>
      <vt:lpstr>Dim_Performance</vt:lpstr>
      <vt:lpstr>Dim_Employee (1)</vt:lpstr>
      <vt:lpstr>Dim_Date (1)</vt:lpstr>
      <vt:lpstr>Pivot_Dept_Attrition</vt:lpstr>
      <vt:lpstr>Pivot_Gender_Attrition</vt:lpstr>
      <vt:lpstr>Pivot_Avg_Perf_Years</vt:lpstr>
      <vt:lpstr>Pivot_Avg_Employee_Experience</vt:lpstr>
      <vt:lpstr>Pivot_Dept_OT_Rate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dcterms:created xsi:type="dcterms:W3CDTF">2026-06-14T13:53:19Z</dcterms:created>
  <dcterms:modified xsi:type="dcterms:W3CDTF">2026-06-16T17:11:22Z</dcterms:modified>
</cp:coreProperties>
</file>