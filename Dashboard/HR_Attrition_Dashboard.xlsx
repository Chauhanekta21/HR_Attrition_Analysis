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Dashboard/"/>
    </mc:Choice>
  </mc:AlternateContent>
  <xr:revisionPtr revIDLastSave="62" documentId="8_{A15DF60A-01BE-453B-92F1-53F3912642DF}" xr6:coauthVersionLast="47" xr6:coauthVersionMax="47" xr10:uidLastSave="{8C1F2B41-4B29-4602-A43B-3DE9B996CA7D}"/>
  <bookViews>
    <workbookView xWindow="-120" yWindow="-120" windowWidth="20730" windowHeight="11040" firstSheet="8" activeTab="11" xr2:uid="{A17C5757-095D-46CE-98E6-A06442B174DD}"/>
  </bookViews>
  <sheets>
    <sheet name="Fact_Attrition" sheetId="6" r:id="rId1"/>
    <sheet name="Dim_Employee (1)" sheetId="3" r:id="rId2"/>
    <sheet name="Dim_Date (1)" sheetId="2" r:id="rId3"/>
    <sheet name="Dim_Satisfaction" sheetId="5" r:id="rId4"/>
    <sheet name="Dim_Performance" sheetId="4" r:id="rId5"/>
    <sheet name="Pivot_DepartmentAttrition_Count" sheetId="27" r:id="rId6"/>
    <sheet name="Pivot_Gender_Attrition_Analysis" sheetId="20" r:id="rId7"/>
    <sheet name="Pivot_Dept_OT_Attrition_Rate" sheetId="18" r:id="rId8"/>
    <sheet name="Pivot_Avg_Employee_Experience" sheetId="38" r:id="rId9"/>
    <sheet name="Pivot_Avg_Performance_Tenure" sheetId="13" r:id="rId10"/>
    <sheet name="KPIs" sheetId="35"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2" hidden="1">'Dim_Date (1)'!$A$1:$F$37</definedName>
    <definedName name="ExternalData_2" localSheetId="1" hidden="1">'Dim_Employee (1)'!$A$1:$L$61</definedName>
    <definedName name="ExternalData_3" localSheetId="4" hidden="1">Dim_Performance!$A$1:$F$181</definedName>
    <definedName name="ExternalData_4" localSheetId="3" hidden="1">Dim_Satisfaction!$A$1:$G$181</definedName>
    <definedName name="ExternalData_5" localSheetId="0" hidden="1">Fact_Attrition!$A$1:$J$1798</definedName>
    <definedName name="Slicer_Department">#N/A</definedName>
    <definedName name="Slicer_Gender">#N/A</definedName>
  </definedNames>
  <calcPr calcId="191029"/>
  <pivotCaches>
    <pivotCache cacheId="450" r:id="rId13"/>
    <pivotCache cacheId="453" r:id="rId14"/>
    <pivotCache cacheId="456" r:id="rId15"/>
    <pivotCache cacheId="459" r:id="rId16"/>
    <pivotCache cacheId="462" r:id="rId17"/>
    <pivotCache cacheId="465" r:id="rId18"/>
  </pivotCaches>
  <extLst>
    <ext xmlns:x14="http://schemas.microsoft.com/office/spreadsheetml/2009/9/main" uri="{876F7934-8845-4945-9796-88D515C7AA90}">
      <x14:pivotCaches>
        <pivotCache cacheId="6"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<sst xmlns="http://schemas.openxmlformats.org/spreadsheetml/2006/main" count="12880" uniqueCount="2453">
  <si>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</si>
  <si>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</si>
  <si>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</si>
  <si>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</si>
  <si>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</si>
  <si>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</si>
  <si>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</si>
  <si>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</si>
  <si>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</si>
  <si>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</si>
  <si>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</si>
  <si>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</si>
  <si>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</si>
  <si>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</si>
  <si>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</si>
  <si>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</si>
  <si>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</si>
  <si>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</si>
  <si>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</si>
  <si>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</si>
  <si>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</si>
  <si>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</si>
  <si>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</si>
  <si>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</si>
  <si>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</si>
  <si>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</si>
  <si>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</si>
  <si>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</si>
  <si>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</si>
  <si>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</si>
  <si>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</si>
  <si>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</si>
  <si>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</si>
  <si>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</si>
  <si>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</si>
  <si>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</si>
  <si>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</si>
  <si>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</si>
  <si>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</si>
  <si>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</si>
  <si>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</si>
  <si>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</si>
  <si>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</si>
  <si>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</si>
  <si>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</si>
  <si>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</si>
  <si>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</si>
  <si>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</si>
  <si>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</si>
  <si>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</si>
  <si>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</si>
  <si>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</si>
  <si>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</si>
  <si>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</si>
  <si>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</si>
  <si>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</si>
  <si>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</si>
  <si>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</si>
  <si>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</si>
  <si>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</si>
  <si>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</si>
  <si>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</si>
  <si>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</si>
  <si>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</si>
  <si>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</si>
  <si>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</si>
  <si>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</si>
  <si>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</si>
  <si>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</si>
  <si>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</si>
  <si>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</si>
  <si>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</si>
  <si>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</si>
  <si>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</si>
  <si>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</si>
  <si>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</si>
  <si>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</si>
  <si>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</si>
  <si>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</si>
  <si>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</si>
  <si>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</si>
  <si>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</si>
  <si>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</si>
  <si>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</si>
  <si>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</si>
  <si>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</si>
  <si>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</si>
  <si>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</si>
  <si>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</si>
  <si>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</si>
  <si>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</si>
  <si>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</si>
  <si>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</si>
  <si>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</si>
  <si>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</si>
  <si>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</si>
  <si>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</si>
  <si>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</si>
  <si>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</si>
  <si>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</si>
  <si>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</si>
  <si>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</si>
  <si>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</si>
  <si>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</si>
  <si>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</si>
  <si>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</si>
  <si>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</si>
  <si>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</si>
  <si>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</si>
  <si>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</si>
  <si>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</si>
  <si>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</si>
  <si>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</si>
  <si>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</si>
  <si>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</si>
  <si>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</si>
  <si>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</si>
  <si>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</si>
  <si>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</si>
  <si>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</si>
  <si>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</si>
  <si>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</si>
  <si>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</si>
  <si>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</si>
  <si>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</si>
  <si>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</si>
  <si>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</si>
  <si>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</si>
  <si>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</si>
  <si>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</si>
  <si>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</si>
  <si>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</si>
  <si>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</si>
  <si>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</si>
  <si>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</si>
  <si>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</si>
  <si>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</si>
  <si>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</si>
  <si>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</si>
  <si>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</si>
  <si>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</si>
  <si>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</si>
  <si>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</si>
  <si>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</si>
  <si>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</si>
  <si>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</si>
  <si>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</si>
  <si>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</si>
  <si>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</si>
  <si>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</si>
  <si>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</si>
  <si>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</si>
  <si>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</si>
  <si>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</si>
  <si>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</si>
  <si>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</si>
  <si>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</si>
  <si>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</si>
  <si>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</si>
  <si>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</si>
  <si>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</si>
  <si>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</si>
  <si>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</si>
  <si>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</si>
  <si>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</si>
  <si>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</si>
  <si>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</si>
  <si>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</si>
  <si>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</si>
  <si>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</si>
  <si>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</si>
  <si>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</si>
  <si>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</si>
  <si>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</si>
  <si>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</si>
  <si>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</si>
  <si>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</si>
  <si>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</si>
  <si>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</si>
  <si>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</si>
  <si>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</si>
  <si>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</si>
  <si>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</si>
  <si>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</si>
  <si>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</si>
  <si>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</si>
  <si>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</si>
  <si>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</si>
  <si>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</si>
  <si>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</si>
  <si>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</si>
  <si>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</si>
  <si>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</si>
  <si>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</si>
  <si>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</si>
  <si>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</si>
  <si>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</si>
  <si>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</si>
  <si>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</si>
  <si>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</si>
  <si>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</si>
  <si>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</si>
  <si>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</si>
  <si>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</si>
  <si>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</si>
  <si>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</si>
  <si>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</si>
  <si>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</si>
  <si>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</si>
  <si>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</si>
  <si>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</si>
  <si>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</si>
  <si>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</si>
  <si>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</si>
  <si>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</si>
  <si>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</si>
  <si>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</si>
  <si>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</si>
  <si>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</si>
  <si>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</si>
  <si>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</si>
  <si>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</si>
  <si>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</si>
  <si>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</si>
  <si>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</si>
  <si>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</si>
  <si>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</si>
  <si>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</si>
  <si>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</si>
  <si>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</si>
  <si>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</si>
  <si>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</si>
  <si>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</si>
  <si>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</si>
  <si>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</si>
  <si>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</si>
  <si>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</si>
  <si>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</si>
  <si>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</si>
  <si>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</si>
  <si>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</si>
  <si>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</si>
  <si>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</si>
  <si>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</si>
  <si>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</si>
  <si>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</si>
  <si>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</si>
  <si>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</si>
  <si>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</si>
  <si>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</si>
  <si>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</si>
  <si>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</si>
  <si>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</si>
  <si>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</si>
  <si>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</si>
  <si>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</si>
  <si>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</si>
  <si>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</si>
  <si>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</si>
  <si>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</si>
  <si>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</si>
  <si>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</si>
  <si>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</si>
  <si>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</si>
  <si>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</si>
  <si>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</si>
  <si>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</si>
  <si>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</si>
  <si>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</si>
  <si>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</si>
  <si>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</si>
  <si>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</si>
  <si>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</si>
  <si>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</si>
  <si>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</si>
  <si>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</si>
  <si>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</si>
  <si>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</si>
  <si>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</si>
  <si>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</si>
  <si>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</si>
  <si>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</si>
  <si>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</si>
  <si>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</si>
  <si>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</si>
  <si>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</si>
  <si>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</si>
  <si>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</si>
  <si>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</si>
  <si>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</si>
  <si>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</si>
  <si>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</si>
  <si>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</si>
  <si>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</si>
  <si>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</si>
  <si>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</si>
  <si>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</si>
  <si>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</si>
  <si>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</si>
  <si>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</si>
  <si>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</si>
  <si>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</si>
  <si>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</si>
  <si>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</si>
  <si>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</si>
  <si>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</si>
  <si>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</si>
  <si>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</si>
  <si>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</si>
  <si>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</si>
  <si>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</si>
  <si>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</si>
  <si>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</si>
  <si>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</si>
  <si>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</si>
  <si>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</si>
  <si>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</si>
  <si>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</si>
  <si>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</si>
  <si>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</si>
  <si>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</si>
  <si>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</si>
  <si>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</si>
  <si>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</si>
  <si>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</si>
  <si>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</si>
  <si>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</si>
  <si>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</si>
  <si>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</si>
  <si>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</si>
  <si>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</si>
  <si>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</si>
  <si>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</si>
  <si>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</si>
  <si>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</si>
  <si>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</si>
  <si>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</si>
  <si>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</si>
  <si>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</si>
  <si>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</si>
  <si>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</si>
  <si>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</si>
  <si>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</si>
  <si>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</si>
  <si>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</si>
  <si>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</si>
  <si>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</si>
  <si>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</si>
  <si>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</si>
  <si>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</si>
  <si>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</si>
  <si>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</si>
  <si>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</si>
  <si>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</si>
  <si>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</si>
  <si>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</si>
  <si>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</si>
  <si>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</si>
  <si>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</si>
  <si>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</si>
  <si>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</si>
  <si>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</si>
  <si>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</si>
  <si>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</si>
  <si>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</si>
  <si>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</si>
  <si>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</si>
  <si>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</si>
  <si>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</si>
  <si>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</si>
  <si>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</si>
  <si>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</si>
  <si>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</si>
  <si>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</si>
  <si>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</si>
  <si>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</si>
  <si>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</si>
  <si>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</si>
  <si>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</si>
  <si>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</si>
  <si>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</si>
  <si>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</si>
  <si>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</si>
  <si>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</si>
  <si>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</si>
  <si>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</si>
  <si>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</si>
  <si>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</si>
  <si>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</si>
  <si>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</si>
  <si>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</si>
  <si>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</si>
  <si>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</si>
  <si>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</si>
  <si>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</si>
  <si>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</si>
  <si>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</si>
  <si>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</si>
  <si>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</si>
  <si>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</si>
  <si>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</si>
  <si>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</si>
  <si>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</si>
  <si>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</si>
  <si>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</si>
  <si>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</si>
  <si>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</si>
  <si>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</si>
  <si>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</si>
  <si>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</si>
  <si>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</si>
  <si>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</si>
  <si>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</si>
  <si>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</si>
  <si>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</si>
  <si>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</si>
  <si>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</si>
  <si>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</si>
  <si>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</si>
  <si>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</si>
  <si>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</si>
  <si>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</si>
  <si>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</si>
  <si>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</si>
  <si>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</si>
  <si>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</si>
  <si>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</si>
  <si>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</si>
  <si>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</si>
  <si>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</si>
  <si>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</si>
  <si>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</si>
  <si>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</si>
  <si>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</si>
  <si>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</si>
  <si>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</si>
  <si>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</si>
  <si>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</si>
  <si>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</si>
  <si>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</si>
  <si>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</si>
  <si>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</si>
  <si>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</si>
  <si>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</si>
  <si>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</si>
  <si>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</si>
  <si>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</si>
  <si>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</si>
  <si>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</si>
  <si>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</si>
  <si>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</si>
  <si>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</si>
  <si>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</si>
  <si>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</si>
  <si>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</si>
  <si>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</si>
  <si>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</si>
  <si>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</si>
  <si>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</si>
  <si>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</si>
  <si>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</si>
  <si>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</si>
  <si>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</si>
  <si>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</si>
  <si>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</si>
  <si>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</si>
  <si>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</si>
  <si>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</si>
  <si>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</si>
  <si>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</si>
  <si>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</si>
  <si>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</si>
  <si>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</si>
  <si>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</si>
  <si>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</si>
  <si>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</si>
  <si>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</si>
  <si>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</si>
  <si>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</si>
  <si>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</si>
  <si>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</si>
  <si>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</si>
  <si>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</si>
  <si>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</si>
  <si>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</si>
  <si>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</si>
  <si>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</si>
  <si>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</si>
  <si>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</si>
  <si>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</si>
  <si>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</si>
  <si>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</si>
  <si>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</si>
  <si>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</si>
  <si>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</si>
  <si>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</si>
  <si>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</si>
  <si>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</si>
  <si>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</si>
  <si>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</si>
  <si>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</si>
  <si>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</si>
  <si>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</si>
  <si>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</si>
  <si>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</si>
  <si>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</si>
  <si>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</si>
  <si>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</si>
  <si>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</si>
  <si>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</si>
  <si>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</si>
  <si>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</si>
  <si>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</si>
  <si>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</si>
  <si>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</si>
  <si>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</si>
  <si>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</si>
  <si>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</si>
  <si>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</si>
  <si>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</si>
  <si>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</si>
  <si>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</si>
  <si>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</si>
  <si>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</si>
  <si>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</si>
  <si>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</si>
  <si>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</si>
  <si>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</si>
  <si>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</si>
  <si>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</si>
  <si>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</si>
  <si>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</si>
  <si>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</si>
  <si>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</si>
  <si>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</si>
  <si>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</si>
  <si>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</si>
  <si>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</si>
  <si>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</si>
  <si>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</si>
  <si>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</si>
  <si>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</si>
  <si>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</si>
  <si>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</si>
  <si>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</si>
  <si>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</si>
  <si>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</si>
  <si>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</si>
  <si>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</si>
  <si>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</si>
  <si>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</si>
  <si>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</si>
  <si>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</si>
  <si>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</si>
  <si>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</si>
  <si>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</si>
  <si>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</si>
  <si>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</si>
  <si>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</si>
  <si>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</si>
  <si>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</si>
  <si>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</si>
  <si>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</si>
  <si>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</si>
  <si>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</si>
  <si>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</si>
  <si>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</si>
  <si>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</si>
  <si>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</si>
  <si>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</si>
  <si>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</si>
  <si>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</si>
  <si>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</si>
  <si>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</si>
  <si>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</si>
  <si>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</si>
  <si>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</si>
  <si>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</si>
  <si>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</si>
  <si>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</si>
  <si>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</si>
  <si>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</si>
  <si>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</si>
  <si>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</si>
  <si>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</si>
  <si>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</si>
  <si>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</si>
  <si>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</si>
  <si>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</si>
  <si>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</si>
  <si>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</si>
  <si>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</si>
  <si>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</si>
  <si>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</si>
  <si>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</si>
  <si>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</si>
  <si>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</si>
  <si>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</si>
  <si>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</si>
  <si>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</si>
  <si>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</si>
  <si>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</si>
  <si>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</si>
  <si>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</si>
  <si>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</si>
  <si>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</si>
  <si>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</si>
  <si>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</si>
  <si>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</si>
  <si>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</si>
  <si>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</si>
  <si>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</si>
  <si>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</si>
  <si>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</si>
  <si>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</si>
  <si>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</si>
  <si>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</si>
  <si>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</si>
  <si>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</si>
  <si>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</si>
  <si>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</si>
  <si>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</si>
  <si>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</si>
  <si>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</si>
  <si>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</si>
  <si>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</si>
  <si>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</si>
  <si>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</si>
  <si>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</si>
  <si>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</si>
  <si>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</si>
  <si>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</si>
  <si>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</si>
  <si>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</si>
  <si>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</si>
  <si>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</si>
  <si>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</si>
  <si>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</si>
  <si>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</si>
  <si>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</si>
  <si>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</si>
  <si>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</si>
  <si>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</si>
  <si>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</si>
  <si>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</si>
  <si>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</si>
  <si>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</si>
  <si>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</si>
  <si>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</si>
  <si>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</si>
  <si>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</si>
  <si>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</si>
  <si>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</si>
  <si>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</si>
  <si>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</si>
  <si>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</si>
  <si>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</si>
  <si>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</si>
  <si>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</si>
  <si>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</si>
  <si>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</si>
  <si>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</si>
  <si>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</si>
  <si>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</si>
  <si>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</si>
  <si>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</si>
  <si>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</si>
  <si>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</si>
  <si>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</si>
  <si>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</si>
  <si>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</si>
  <si>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</si>
  <si>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</si>
  <si>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</si>
  <si>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</si>
  <si>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</si>
  <si>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</si>
  <si>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</si>
  <si>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</si>
  <si>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</si>
  <si>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</si>
  <si>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</si>
  <si>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</si>
  <si>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</si>
  <si>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</si>
  <si>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</si>
  <si>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</si>
  <si>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</si>
  <si>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</si>
  <si>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</si>
  <si>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</si>
  <si>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</si>
  <si>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</si>
  <si>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</si>
  <si>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</si>
  <si>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</si>
  <si>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</si>
  <si>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</si>
  <si>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</si>
  <si>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</si>
  <si>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</si>
  <si>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</si>
  <si>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</si>
  <si>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</si>
  <si>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</si>
  <si>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</si>
  <si>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</si>
  <si>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</si>
  <si>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</si>
  <si>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</si>
  <si>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</si>
  <si>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</si>
  <si>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</si>
  <si>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</si>
  <si>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</si>
  <si>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</si>
  <si>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</si>
  <si>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</si>
  <si>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</si>
  <si>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</si>
  <si>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</si>
  <si>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</si>
  <si>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</si>
  <si>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</si>
  <si>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</si>
  <si>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</si>
  <si>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</si>
  <si>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</si>
  <si>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</si>
  <si>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</si>
  <si>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</si>
  <si>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</si>
  <si>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</si>
  <si>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</si>
  <si>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</si>
  <si>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</si>
  <si>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</si>
  <si>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</si>
  <si>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</si>
  <si>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</si>
  <si>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</si>
  <si>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</si>
  <si>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</si>
  <si>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</si>
  <si>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</si>
  <si>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</si>
  <si>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</si>
  <si>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</si>
  <si>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</si>
  <si>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</si>
  <si>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</si>
  <si>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</si>
  <si>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</si>
  <si>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</si>
  <si>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</si>
  <si>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</si>
  <si>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</si>
  <si>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</si>
  <si>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</si>
  <si>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</si>
  <si>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</si>
  <si>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</si>
  <si>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</si>
  <si>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</si>
  <si>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</si>
  <si>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</si>
  <si>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</si>
  <si>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</si>
  <si>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</si>
  <si>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</si>
  <si>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</si>
  <si>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</si>
  <si>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</si>
  <si>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</si>
  <si>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</si>
  <si>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</si>
  <si>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</si>
  <si>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</si>
  <si>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</si>
  <si>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</si>
  <si>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</si>
  <si>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</si>
  <si>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</si>
  <si>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</si>
  <si>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</si>
  <si>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</si>
  <si>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</si>
  <si>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</si>
  <si>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</si>
  <si>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</si>
  <si>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</si>
  <si>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</si>
  <si>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</si>
  <si>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</si>
  <si>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</si>
  <si>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</si>
  <si>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</si>
  <si>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</si>
  <si>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</si>
  <si>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</si>
  <si>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</si>
  <si>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</si>
  <si>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</si>
  <si>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</si>
  <si>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</si>
  <si>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</si>
  <si>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</si>
  <si>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</si>
  <si>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</si>
  <si>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</si>
  <si>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</si>
  <si>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</si>
  <si>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</si>
  <si>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</si>
  <si>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</si>
  <si>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</si>
  <si>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</si>
  <si>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</si>
  <si>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</si>
  <si>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</si>
  <si>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</si>
  <si>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</si>
  <si>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</si>
  <si>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</si>
  <si>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</si>
  <si>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</si>
  <si>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</si>
  <si>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</si>
  <si>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</si>
  <si>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</si>
  <si>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</si>
  <si>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</si>
  <si>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</si>
  <si>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</si>
  <si>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</si>
  <si>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</si>
  <si>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</si>
  <si>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</si>
  <si>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</si>
  <si>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</si>
  <si>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</si>
  <si>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</si>
  <si>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</si>
  <si>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</si>
  <si>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</si>
  <si>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</si>
  <si>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</si>
  <si>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</si>
  <si>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</si>
  <si>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</si>
  <si>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</si>
  <si>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</si>
  <si>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</si>
  <si>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</si>
  <si>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</si>
  <si>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</si>
  <si>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</si>
  <si>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</si>
  <si>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</si>
  <si>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</si>
  <si>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</si>
  <si>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</si>
  <si>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</si>
  <si>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</si>
  <si>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</si>
  <si>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</si>
  <si>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</si>
  <si>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</si>
  <si>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</si>
  <si>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</si>
  <si>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</si>
  <si>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</si>
  <si>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</si>
  <si>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</si>
  <si>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</si>
  <si>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</si>
  <si>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</si>
  <si>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</si>
  <si>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</si>
  <si>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</si>
  <si>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</si>
  <si>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</si>
  <si>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</si>
  <si>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</si>
  <si>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</si>
  <si>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</si>
  <si>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</si>
  <si>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</si>
  <si>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</si>
  <si>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</si>
  <si>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</si>
  <si>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</si>
  <si>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</si>
  <si>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</si>
  <si>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</si>
  <si>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</si>
  <si>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</si>
  <si>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</si>
  <si>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</si>
  <si>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</si>
  <si>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</si>
  <si>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</si>
  <si>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</si>
  <si>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</si>
  <si>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</si>
  <si>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</si>
  <si>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</si>
  <si>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</si>
  <si>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</si>
  <si>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</si>
  <si>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</si>
  <si>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</si>
  <si>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</si>
  <si>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</si>
  <si>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</si>
  <si>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</si>
  <si>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</si>
  <si>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</si>
  <si>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</si>
  <si>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</si>
  <si>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</si>
  <si>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</si>
  <si>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</si>
  <si>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</si>
  <si>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</si>
  <si>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</si>
  <si>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</si>
  <si>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</si>
  <si>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</si>
  <si>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</si>
  <si>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</si>
  <si>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</si>
  <si>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</si>
  <si>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</si>
  <si>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</si>
  <si>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</si>
  <si>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</si>
  <si>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</si>
  <si>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</si>
  <si>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</si>
  <si>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</si>
  <si>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</si>
  <si>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</si>
  <si>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</si>
  <si>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</si>
  <si>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</si>
  <si>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</si>
  <si>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</si>
  <si>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</si>
  <si>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</si>
  <si>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</si>
  <si>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</si>
  <si>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</si>
  <si>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</si>
  <si>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</si>
  <si>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</si>
  <si>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</si>
  <si>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</si>
  <si>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</si>
  <si>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</si>
  <si>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</si>
  <si>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</si>
  <si>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</si>
  <si>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</si>
  <si>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</si>
  <si>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</si>
  <si>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</si>
  <si>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</si>
  <si>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</si>
  <si>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</si>
  <si>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</si>
  <si>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</si>
  <si>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</si>
  <si>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</si>
  <si>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</si>
  <si>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</si>
  <si>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</si>
  <si>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</si>
  <si>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</si>
  <si>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</si>
  <si>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</si>
  <si>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</si>
  <si>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</si>
  <si>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</si>
  <si>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</si>
  <si>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</si>
  <si>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</si>
  <si>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</si>
  <si>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</si>
  <si>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</si>
  <si>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</si>
  <si>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</si>
  <si>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</si>
  <si>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</si>
  <si>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</si>
  <si>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</si>
  <si>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</si>
  <si>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</si>
  <si>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</si>
  <si>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</si>
  <si>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</si>
  <si>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</si>
  <si>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</si>
  <si>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</si>
  <si>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</si>
  <si>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</si>
  <si>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</si>
  <si>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</si>
  <si>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</si>
  <si>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</si>
  <si>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</si>
  <si>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</si>
  <si>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</si>
  <si>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</si>
  <si>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</si>
  <si>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</si>
  <si>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</si>
  <si>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</si>
  <si>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</si>
  <si>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</si>
  <si>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</si>
  <si>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</si>
  <si>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</si>
  <si>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</si>
  <si>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</si>
  <si>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</si>
  <si>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</si>
  <si>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</si>
  <si>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</si>
  <si>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</si>
  <si>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</si>
  <si>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</si>
  <si>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</si>
  <si>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</si>
  <si>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</si>
  <si>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</si>
  <si>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</si>
  <si>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</si>
  <si>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</si>
  <si>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</si>
  <si>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</si>
  <si>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</si>
  <si>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</si>
  <si>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</si>
  <si>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</si>
  <si>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</si>
  <si>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</si>
  <si>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</si>
  <si>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</si>
  <si>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</si>
  <si>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</si>
  <si>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</si>
  <si>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</si>
  <si>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</si>
  <si>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</si>
  <si>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</si>
  <si>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</si>
  <si>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</si>
  <si>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</si>
  <si>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</si>
  <si>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</si>
  <si>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</si>
  <si>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</si>
  <si>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</si>
  <si>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</si>
  <si>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</si>
  <si>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</si>
  <si>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</si>
  <si>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</si>
  <si>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</si>
  <si>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</si>
  <si>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</si>
  <si>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</si>
  <si>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</si>
  <si>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</si>
  <si>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</si>
  <si>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</si>
  <si>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</si>
  <si>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</si>
  <si>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</si>
  <si>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</si>
  <si>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</si>
  <si>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</si>
  <si>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</si>
  <si>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</si>
  <si>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</si>
  <si>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</si>
  <si>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</si>
  <si>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</si>
  <si>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</si>
  <si>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</si>
  <si>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</si>
  <si>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</si>
  <si>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</si>
  <si>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</si>
  <si>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</si>
  <si>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</si>
  <si>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</si>
  <si>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</si>
  <si>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</si>
  <si>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</si>
  <si>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</si>
  <si>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</si>
  <si>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</si>
  <si>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</si>
  <si>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</si>
  <si>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</si>
  <si>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</si>
  <si>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</si>
  <si>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</si>
  <si>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</si>
  <si>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</si>
  <si>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</si>
  <si>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</si>
  <si>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</si>
  <si>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</si>
  <si>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</si>
  <si>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</si>
  <si>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</si>
  <si>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</si>
  <si>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</si>
  <si>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</si>
  <si>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</si>
  <si>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</si>
  <si>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</si>
  <si>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</si>
  <si>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</si>
  <si>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</si>
  <si>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</si>
  <si>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</si>
  <si>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</si>
  <si>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</si>
  <si>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</si>
  <si>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</si>
  <si>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</si>
  <si>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</si>
  <si>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</si>
  <si>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</si>
  <si>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</si>
  <si>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</si>
  <si>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</si>
  <si>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</si>
  <si>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</si>
  <si>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</si>
  <si>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</si>
  <si>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</si>
  <si>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</si>
  <si>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</si>
  <si>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</si>
  <si>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</si>
  <si>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</si>
  <si>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</si>
  <si>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</si>
  <si>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</si>
  <si>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</si>
  <si>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</si>
  <si>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</si>
  <si>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</si>
  <si>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</si>
  <si>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</si>
  <si>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</si>
  <si>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</si>
  <si>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</si>
  <si>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</si>
  <si>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</si>
  <si>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</si>
  <si>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</si>
  <si>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</si>
  <si>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</si>
  <si>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</si>
  <si>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</si>
  <si>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</si>
  <si>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</si>
  <si>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</si>
  <si>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</si>
  <si>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</si>
  <si>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</si>
  <si>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</si>
  <si>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</si>
  <si>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</si>
  <si>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</si>
  <si>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</si>
  <si>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</si>
  <si>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</si>
  <si>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</si>
  <si>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</si>
  <si>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</si>
  <si>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</si>
  <si>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</si>
  <si>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</si>
  <si>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</si>
  <si>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</si>
  <si>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</si>
  <si>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</si>
  <si>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</si>
  <si>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</si>
  <si>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</si>
  <si>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</si>
  <si>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</si>
  <si>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</si>
  <si>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</si>
  <si>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</si>
  <si>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</si>
  <si>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</si>
  <si>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</si>
  <si>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</si>
  <si>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</si>
  <si>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</si>
  <si>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</si>
  <si>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</si>
  <si>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</si>
  <si>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</si>
  <si>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</si>
  <si>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</si>
  <si>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</si>
  <si>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</si>
  <si>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</si>
  <si>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</si>
  <si>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</si>
  <si>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</si>
  <si>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</si>
  <si>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</si>
  <si>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</si>
  <si>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</si>
  <si>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</si>
  <si>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</si>
  <si>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</si>
  <si>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</si>
  <si>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</si>
  <si>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</si>
  <si>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</si>
  <si>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</si>
  <si>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</si>
  <si>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</si>
  <si>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</si>
  <si>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</si>
  <si>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</si>
  <si>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</si>
  <si>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</si>
  <si>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</si>
  <si>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</si>
  <si>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</si>
  <si>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</si>
  <si>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</si>
  <si>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</si>
  <si>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</si>
  <si>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</si>
  <si>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</si>
  <si>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</si>
  <si>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</si>
  <si>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</si>
  <si>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</si>
  <si>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</si>
  <si>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</si>
  <si>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</si>
  <si>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</si>
  <si>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</si>
  <si>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</si>
  <si>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</si>
  <si>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</si>
  <si>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</si>
  <si>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</si>
  <si>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</si>
  <si>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</si>
  <si>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</si>
  <si>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</si>
  <si>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</si>
  <si>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</si>
  <si>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</si>
  <si>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</si>
  <si>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</si>
  <si>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</si>
  <si>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</si>
  <si>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</si>
  <si>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</si>
  <si>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</si>
  <si>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</si>
  <si>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</si>
  <si>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</si>
  <si>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</si>
  <si>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</si>
  <si>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</si>
  <si>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</si>
  <si>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</si>
  <si>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</si>
  <si>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</si>
  <si>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</si>
  <si>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</si>
  <si>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</si>
  <si>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</si>
  <si>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</si>
  <si>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</si>
  <si>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</si>
  <si>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</si>
  <si>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</si>
  <si>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</si>
  <si>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</si>
  <si>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</si>
  <si>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</si>
  <si>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</si>
  <si>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</si>
  <si>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</si>
  <si>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</si>
  <si>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</si>
  <si>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</si>
  <si>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</si>
  <si>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</si>
  <si>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</si>
  <si>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</si>
  <si>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</si>
  <si>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</si>
  <si>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</si>
  <si>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</si>
  <si>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</si>
  <si>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</si>
  <si>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</si>
  <si>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</si>
  <si>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</si>
  <si>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</si>
  <si>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</si>
  <si>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</si>
  <si>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</si>
  <si>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</si>
  <si>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</si>
  <si>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</si>
  <si>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</si>
  <si>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</si>
  <si>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</si>
  <si>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</si>
  <si>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</si>
  <si>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</si>
  <si>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</si>
  <si>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</si>
  <si>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</si>
  <si>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</si>
  <si>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</si>
  <si>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</si>
  <si>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</si>
  <si>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</si>
  <si>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</si>
  <si>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</si>
  <si>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</si>
  <si>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</si>
  <si>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</si>
  <si>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</si>
  <si>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</si>
  <si>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</si>
  <si>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</si>
  <si>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</si>
  <si>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</si>
  <si>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</si>
  <si>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</si>
  <si>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</si>
  <si>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</si>
  <si>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</si>
  <si>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</si>
  <si>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</si>
  <si>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</si>
  <si>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</si>
  <si>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</si>
  <si>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</si>
  <si>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</si>
  <si>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</si>
  <si>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</si>
  <si>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</si>
  <si>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</si>
  <si>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</si>
  <si>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</si>
  <si>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</si>
  <si>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</si>
  <si>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</si>
  <si>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</si>
  <si>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</si>
  <si>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</si>
  <si>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</si>
  <si>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</si>
  <si>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</si>
  <si>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</si>
  <si>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</si>
  <si>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</si>
  <si>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</si>
  <si>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</si>
  <si>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</si>
  <si>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</si>
  <si>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</si>
  <si>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</si>
  <si>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</si>
  <si>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</si>
  <si>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</si>
  <si>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</si>
  <si>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</si>
  <si>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</si>
  <si>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</si>
  <si>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</si>
  <si>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</si>
  <si>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</si>
  <si>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</si>
  <si>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</si>
  <si>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</si>
  <si>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</si>
  <si>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</si>
  <si>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</si>
  <si>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</si>
  <si>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</si>
  <si>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</si>
  <si>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</si>
  <si>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</si>
  <si>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</si>
  <si>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</si>
  <si>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</si>
  <si>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</si>
  <si>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</si>
  <si>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</si>
  <si>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</si>
  <si>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</si>
  <si>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</si>
  <si>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</si>
  <si>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</si>
  <si>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</si>
  <si>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</si>
  <si>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</si>
  <si>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</si>
  <si>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</si>
  <si>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</si>
  <si>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</si>
  <si>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</si>
  <si>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</si>
  <si>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</si>
  <si>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</si>
  <si>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</si>
  <si>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</si>
  <si>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</si>
  <si>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</si>
  <si>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</si>
  <si>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</si>
  <si>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</si>
  <si>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</si>
  <si>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</si>
  <si>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</si>
  <si>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</si>
  <si>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</si>
  <si>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</si>
  <si>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</si>
  <si>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</si>
  <si>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</si>
  <si>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</si>
  <si>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</si>
  <si>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</si>
  <si>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</si>
  <si>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</si>
  <si>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</si>
  <si>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</si>
  <si>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</si>
  <si>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</si>
  <si>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</si>
  <si>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</si>
  <si>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</si>
  <si>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</si>
  <si>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</si>
  <si>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</si>
  <si>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</si>
  <si>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</si>
  <si>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</si>
  <si>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</si>
  <si>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</si>
  <si>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</si>
  <si>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</si>
  <si>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</si>
  <si>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</si>
  <si>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</si>
  <si>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</si>
  <si>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</si>
  <si>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</si>
  <si>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</si>
  <si>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</si>
  <si>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</si>
  <si>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</si>
  <si>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</si>
  <si>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</si>
  <si>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</si>
  <si>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</si>
  <si>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</si>
  <si>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</si>
  <si>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</si>
  <si>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</si>
  <si>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</si>
  <si>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</si>
  <si>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</si>
  <si>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</si>
  <si>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</si>
  <si>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</si>
  <si>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</si>
  <si>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</si>
  <si>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</si>
  <si>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</si>
  <si>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</si>
  <si>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</si>
  <si>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</si>
  <si>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</si>
  <si>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</si>
  <si>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</si>
  <si>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</si>
  <si>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</si>
  <si>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</si>
  <si>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</si>
  <si>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</si>
  <si>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</si>
  <si>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</si>
  <si>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</si>
  <si>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</si>
  <si>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</si>
  <si>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</si>
  <si>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</si>
  <si>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</si>
  <si>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</si>
  <si>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</si>
  <si>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</si>
  <si>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</si>
  <si>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</si>
  <si>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</si>
  <si>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</si>
  <si>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</si>
  <si>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</si>
  <si>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</si>
  <si>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</si>
  <si>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</si>
  <si>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</si>
  <si>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</si>
  <si>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</si>
  <si>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</si>
  <si>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</si>
  <si>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</si>
  <si>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</si>
  <si>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</si>
  <si>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</si>
  <si>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</si>
  <si>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</si>
  <si>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</si>
  <si>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</si>
  <si>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</si>
  <si>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</si>
  <si>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</si>
  <si>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</si>
  <si>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</si>
  <si>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</si>
  <si>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</si>
  <si>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</si>
  <si>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</si>
  <si>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</si>
  <si>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</si>
  <si>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</si>
  <si>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</si>
  <si>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</si>
  <si>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</si>
  <si>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</si>
  <si>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</si>
  <si>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</si>
  <si>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</si>
  <si>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</si>
  <si>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</si>
  <si>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</si>
  <si>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</si>
  <si>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</si>
  <si>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</si>
  <si>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</si>
  <si>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</si>
  <si>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</si>
  <si>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</si>
  <si>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</si>
  <si>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</si>
  <si>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</si>
  <si>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</si>
  <si>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</si>
  <si>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</si>
  <si>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</si>
  <si>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</si>
  <si>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</si>
  <si>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</si>
  <si>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</si>
  <si>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</si>
  <si>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</si>
  <si>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</si>
  <si>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</si>
  <si>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</si>
  <si>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</si>
  <si>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</si>
  <si>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</si>
  <si>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</si>
  <si>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</si>
  <si>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</si>
  <si>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</si>
  <si>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</si>
  <si>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</si>
  <si>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</si>
  <si>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</si>
  <si>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</si>
  <si>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</si>
  <si>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</si>
  <si>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</si>
  <si>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</si>
  <si>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</si>
  <si>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</si>
  <si>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</si>
  <si>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</si>
  <si>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</si>
  <si>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</si>
  <si>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</si>
  <si>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</si>
  <si>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</si>
  <si>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</si>
  <si>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</si>
  <si>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</si>
  <si>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</si>
  <si>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</si>
  <si>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</si>
  <si>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</si>
  <si>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</si>
  <si>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</si>
  <si>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</si>
  <si>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</si>
  <si>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</si>
  <si>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</si>
  <si>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</si>
  <si>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</si>
  <si>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</si>
  <si>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</si>
  <si>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</si>
  <si>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</si>
  <si>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</si>
  <si>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</si>
  <si>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</si>
  <si>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</si>
  <si>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</si>
  <si>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</si>
  <si>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</si>
  <si>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</si>
  <si>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</si>
  <si>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</si>
  <si>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</si>
  <si>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</si>
  <si>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</si>
  <si>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</si>
  <si>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</si>
  <si>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</si>
  <si>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</si>
  <si>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</si>
  <si>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</si>
  <si>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</si>
  <si>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</si>
  <si>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</si>
  <si>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</si>
  <si>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</si>
  <si>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</si>
  <si>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</si>
  <si>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</si>
  <si>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</si>
  <si>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</si>
  <si>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</si>
  <si>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</si>
  <si>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</si>
  <si>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</si>
  <si>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</si>
  <si>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</si>
  <si>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</si>
  <si>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</si>
  <si>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</si>
  <si>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</si>
  <si>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</si>
  <si>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</si>
  <si>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</si>
  <si>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</si>
  <si>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</si>
  <si>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</si>
  <si>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</si>
  <si>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</si>
  <si>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</si>
  <si>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</si>
  <si>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</si>
  <si>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</si>
  <si>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</si>
  <si>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</si>
  <si>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</si>
  <si>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</si>
  <si>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</si>
  <si>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</si>
  <si>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</si>
  <si>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</si>
  <si>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</si>
  <si>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</si>
  <si>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</si>
  <si>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</si>
  <si>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</si>
  <si>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</si>
  <si>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</si>
  <si>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</si>
  <si>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</si>
  <si>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</si>
  <si>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</si>
  <si>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</si>
  <si>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</si>
  <si>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</si>
  <si>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</si>
  <si>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</si>
  <si>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</si>
  <si>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</si>
  <si>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</si>
  <si>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</si>
  <si>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</si>
  <si>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</si>
  <si>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</si>
  <si>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</si>
  <si>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</si>
  <si>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</si>
  <si>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</si>
  <si>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</si>
  <si>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</si>
  <si>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</si>
  <si>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</si>
  <si>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</si>
  <si>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</si>
  <si>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</si>
  <si>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</si>
  <si>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</si>
  <si>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</si>
  <si>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</si>
  <si>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</si>
  <si>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</si>
  <si>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</si>
  <si>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</si>
  <si>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</si>
  <si>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</si>
  <si>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</si>
  <si>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</si>
  <si>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</si>
  <si>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</si>
  <si>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</si>
  <si>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</si>
  <si>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</si>
  <si>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</si>
  <si>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</si>
  <si>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</si>
  <si>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</si>
  <si>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</si>
  <si>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</si>
  <si>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</si>
  <si>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</si>
  <si>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</si>
  <si>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</si>
  <si>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</si>
  <si>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</si>
  <si>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</si>
  <si>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</si>
  <si>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</si>
  <si>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</si>
  <si>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</si>
  <si>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</si>
  <si>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</si>
  <si>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</si>
  <si>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</si>
  <si>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</si>
  <si>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</si>
  <si>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</si>
  <si>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</si>
  <si>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</si>
  <si>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</si>
  <si>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</si>
  <si>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</si>
  <si>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</si>
  <si>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</si>
  <si>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</si>
  <si>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</si>
  <si>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</si>
  <si>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</si>
  <si>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</si>
  <si>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</si>
  <si>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</si>
  <si>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</si>
  <si>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</si>
  <si>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</si>
  <si>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</si>
  <si>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</si>
  <si>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</si>
  <si>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</si>
  <si>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</si>
  <si>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</si>
  <si>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</si>
  <si>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</si>
  <si>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</si>
  <si>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</si>
  <si>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</si>
  <si>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</si>
  <si>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</si>
  <si>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</si>
  <si>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</si>
  <si>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</si>
  <si>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</si>
  <si>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</si>
  <si>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</si>
  <si>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</si>
  <si>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</si>
  <si>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</si>
  <si>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</si>
  <si>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</si>
  <si>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</si>
  <si>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</si>
  <si>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</si>
  <si>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</si>
  <si>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</si>
  <si>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</si>
  <si>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</si>
  <si>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</si>
  <si>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</si>
  <si>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</si>
  <si>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</si>
  <si>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</si>
  <si>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</si>
  <si>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</si>
  <si>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</si>
  <si>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</si>
  <si>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</si>
  <si>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</si>
  <si>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</si>
  <si>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</si>
  <si>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</si>
  <si>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</si>
  <si>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</si>
  <si>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</si>
  <si>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</si>
  <si>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</si>
  <si>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</si>
  <si>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</si>
  <si>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</si>
  <si>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</si>
  <si>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</si>
  <si>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</si>
  <si>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</si>
  <si>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</si>
  <si>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</si>
  <si>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</si>
  <si>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</si>
  <si>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</si>
  <si>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</si>
  <si>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</si>
  <si>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</si>
  <si>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</si>
  <si>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</si>
  <si>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</si>
  <si>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</si>
  <si>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</si>
  <si>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</si>
  <si>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</si>
  <si>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</si>
  <si>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</si>
  <si>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</si>
  <si>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</si>
  <si>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</si>
  <si>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</si>
  <si>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</si>
  <si>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</si>
  <si>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</si>
  <si>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</si>
  <si>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</si>
  <si>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</si>
  <si>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</si>
  <si>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</si>
  <si>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</si>
  <si>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</si>
  <si>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</si>
  <si>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</si>
  <si>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</si>
  <si>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</si>
  <si>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</si>
  <si>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</si>
  <si>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</si>
  <si>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</si>
  <si>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</si>
  <si>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</si>
  <si>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</si>
  <si>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</si>
  <si>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</si>
  <si>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</si>
  <si>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</si>
  <si>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</si>
  <si>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</si>
  <si>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</si>
  <si>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</si>
  <si>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</si>
  <si>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</si>
  <si>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</si>
  <si>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</si>
  <si>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</si>
  <si>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</si>
  <si>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</si>
  <si>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</si>
  <si>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</si>
  <si>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</si>
  <si>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</si>
  <si>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</si>
  <si>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</si>
  <si>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</si>
  <si>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</si>
  <si>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</si>
  <si>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</si>
  <si>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</si>
  <si>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</si>
  <si>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</si>
  <si>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</si>
  <si>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</si>
  <si>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</si>
  <si>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</si>
  <si>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</si>
  <si>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</si>
  <si>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</si>
  <si>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</si>
  <si>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</si>
  <si>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</si>
  <si>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</si>
  <si>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</si>
  <si>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</si>
  <si>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</si>
  <si>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</si>
  <si>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</si>
  <si>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</si>
  <si>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</si>
  <si>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</si>
  <si>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</si>
  <si>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</si>
  <si>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</si>
  <si>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</si>
  <si>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</si>
  <si>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</si>
  <si>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</si>
  <si>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</si>
  <si>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</si>
  <si>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</si>
  <si>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</si>
  <si>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</si>
  <si>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</si>
  <si>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</si>
  <si>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</si>
  <si>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</si>
  <si>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</si>
  <si>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</si>
  <si>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</si>
  <si>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</si>
  <si>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</si>
  <si>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</si>
  <si>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</si>
  <si>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</si>
  <si>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</si>
  <si>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</si>
  <si>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</si>
  <si>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</si>
  <si>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</si>
  <si>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</si>
  <si>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</si>
  <si>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</si>
  <si>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</si>
  <si>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</si>
  <si>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</si>
  <si>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</si>
  <si>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</si>
  <si>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</si>
  <si>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</si>
  <si>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</si>
  <si>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</si>
  <si>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</si>
  <si>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</si>
  <si>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</si>
  <si>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</si>
  <si>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</si>
  <si>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</si>
  <si>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</si>
  <si>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</si>
  <si>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</si>
  <si>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</si>
  <si>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</si>
  <si>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</si>
  <si>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</si>
  <si>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</si>
  <si>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</si>
  <si>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</si>
  <si>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</si>
  <si>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</si>
  <si>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</si>
  <si>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</si>
  <si>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</si>
  <si>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</si>
  <si>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</si>
  <si>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</si>
  <si>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</si>
  <si>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</si>
  <si>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</si>
  <si>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</si>
  <si>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</si>
  <si>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</si>
  <si>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</si>
  <si>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</si>
  <si>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</si>
  <si>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</si>
  <si>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</si>
  <si>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</si>
  <si>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</si>
  <si>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</si>
  <si>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</si>
  <si>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</si>
  <si>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</si>
  <si>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</si>
  <si>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</si>
  <si>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</si>
  <si>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</si>
  <si>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</si>
  <si>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</si>
  <si>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</si>
  <si>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</si>
  <si>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</si>
  <si>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</si>
  <si>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</si>
  <si>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</si>
  <si>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</si>
  <si>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</si>
  <si>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</si>
  <si>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</si>
  <si>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</si>
  <si>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</si>
  <si>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</si>
  <si>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</si>
  <si>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</si>
  <si>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</si>
  <si>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</si>
  <si>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</si>
  <si>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</si>
  <si>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</si>
  <si>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</si>
  <si>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</si>
  <si>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</si>
  <si>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</si>
  <si>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</si>
  <si>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</si>
  <si>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</si>
  <si>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</si>
  <si>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</si>
  <si>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</si>
  <si>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</si>
  <si>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</si>
  <si>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</si>
  <si>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</si>
  <si>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</si>
  <si>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</si>
  <si>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</si>
  <si>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</si>
  <si>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</si>
  <si>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</si>
  <si>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</si>
  <si>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</si>
  <si>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</si>
  <si>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</si>
  <si>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</si>
  <si>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</si>
  <si>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</si>
  <si>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</si>
  <si>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</si>
  <si>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</si>
  <si>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</si>
  <si>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</si>
  <si>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</si>
  <si>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</si>
  <si>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</si>
  <si>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</si>
  <si>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</si>
  <si>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</si>
  <si>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</si>
  <si>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</si>
  <si>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</si>
  <si>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</si>
  <si>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</si>
  <si>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</si>
  <si>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</si>
  <si>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</si>
  <si>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</si>
  <si>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</si>
  <si>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</si>
  <si>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</si>
  <si>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</si>
  <si>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</si>
  <si>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</si>
  <si>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</si>
  <si>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</si>
  <si>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</si>
  <si>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</si>
  <si>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</si>
  <si>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</si>
  <si>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</si>
  <si>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</si>
  <si>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</si>
  <si>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</si>
  <si>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</si>
  <si>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</si>
  <si>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</si>
  <si>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</si>
  <si>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</si>
  <si>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</si>
  <si>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</si>
  <si>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</si>
  <si>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</si>
  <si>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</si>
  <si>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</si>
  <si>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</si>
  <si>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</si>
  <si>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</si>
  <si>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</si>
  <si>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</si>
  <si>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</si>
  <si>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</si>
  <si>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</si>
  <si>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</si>
  <si>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</si>
  <si>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</si>
  <si>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</si>
  <si>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</si>
  <si>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</si>
  <si>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</si>
  <si>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</si>
  <si>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</si>
  <si>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</si>
  <si>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</si>
  <si>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</si>
  <si>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</si>
  <si>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</si>
  <si>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</si>
  <si>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</si>
  <si>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</si>
  <si>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</si>
  <si>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</si>
  <si>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</si>
  <si>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</si>
  <si>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</si>
  <si>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</si>
  <si>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</si>
  <si>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</si>
  <si>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</si>
  <si>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</si>
  <si>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</si>
  <si>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</si>
  <si>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</si>
  <si>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</si>
  <si>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</si>
  <si>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</si>
  <si>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</si>
  <si>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</si>
  <si>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</si>
  <si>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</si>
  <si>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</si>
  <si>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</si>
  <si>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</si>
  <si>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</si>
  <si>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</si>
  <si>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</si>
  <si>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</si>
  <si>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</si>
  <si>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</si>
  <si>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</si>
  <si>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</si>
  <si>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</si>
  <si>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</si>
  <si>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</si>
  <si>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</si>
  <si>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</si>
  <si>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</si>
  <si>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</si>
  <si>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</si>
  <si>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</si>
  <si>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</si>
  <si>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</si>
  <si>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</si>
  <si>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</si>
  <si>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</si>
  <si>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</si>
  <si>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</si>
  <si>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</si>
  <si>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</si>
  <si>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</si>
  <si>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</si>
  <si>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</si>
  <si>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</si>
  <si>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</si>
  <si>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</si>
  <si>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</si>
  <si>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</si>
  <si>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</si>
  <si>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</si>
  <si>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</si>
  <si>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</si>
  <si>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</si>
  <si>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</si>
  <si>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</si>
  <si>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</si>
  <si>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</si>
  <si>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</si>
  <si>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</si>
  <si>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</si>
  <si>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</si>
  <si>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</si>
  <si>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</si>
  <si>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</si>
  <si>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</si>
  <si>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</si>
  <si>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</si>
  <si>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</si>
  <si>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</si>
  <si>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</si>
  <si>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</si>
  <si>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</si>
  <si>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</si>
  <si>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</si>
  <si>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</si>
  <si>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</si>
  <si>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</si>
  <si>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</si>
  <si>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</si>
  <si>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</si>
  <si>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</si>
  <si>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</si>
  <si>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</si>
  <si>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</si>
  <si>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</si>
  <si>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</si>
  <si>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</si>
  <si>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</si>
  <si>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</si>
  <si>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</si>
  <si>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</si>
  <si>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</si>
  <si>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</si>
  <si>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</si>
  <si>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</si>
  <si>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</si>
  <si>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</si>
  <si>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</si>
  <si>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</si>
  <si>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</si>
  <si>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</si>
  <si>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</si>
  <si>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</si>
  <si>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</si>
  <si>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</si>
  <si>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</si>
  <si>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</si>
  <si>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</si>
  <si>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</si>
  <si>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</si>
  <si>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</si>
  <si>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</si>
  <si>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</si>
  <si>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</si>
  <si>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</si>
  <si>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</si>
  <si>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</si>
  <si>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</si>
  <si>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</si>
  <si>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</si>
  <si>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</si>
  <si>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</si>
  <si>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</si>
  <si>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</si>
  <si>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</si>
  <si>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</si>
  <si>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</si>
  <si>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</si>
  <si>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</si>
  <si>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</si>
  <si>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</si>
  <si>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</si>
  <si>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</si>
  <si>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</si>
  <si>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</si>
  <si>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</si>
  <si>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</si>
  <si>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</si>
  <si>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</si>
  <si>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</si>
  <si>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</si>
  <si>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</si>
  <si>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</si>
  <si>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</si>
  <si>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</si>
  <si>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</si>
  <si>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</si>
  <si>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</si>
  <si>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</si>
  <si>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</si>
  <si>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</si>
  <si>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</si>
  <si>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</si>
  <si>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</si>
  <si>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</si>
  <si>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</si>
  <si>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</si>
  <si>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</si>
  <si>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</si>
  <si>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</si>
  <si>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</si>
  <si>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</si>
  <si>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</si>
  <si>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</si>
  <si>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</si>
  <si>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</si>
  <si>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</si>
  <si>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</si>
  <si>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</si>
  <si>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</si>
  <si>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</si>
  <si>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</si>
  <si>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</si>
  <si>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</si>
  <si>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</si>
  <si>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</si>
  <si>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</si>
  <si>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</si>
  <si>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</si>
  <si>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</si>
  <si>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</si>
  <si>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</si>
  <si>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</si>
  <si>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</si>
  <si>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</si>
  <si>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</si>
  <si>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</si>
  <si>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</si>
  <si>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</si>
  <si>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</si>
  <si>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</si>
  <si>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</si>
  <si>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</si>
  <si>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</si>
  <si>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</si>
  <si>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</si>
  <si>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</si>
  <si>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</si>
  <si>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</si>
  <si>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</si>
  <si>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</si>
  <si>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</si>
  <si>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</si>
  <si>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</si>
  <si>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</si>
  <si>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</si>
  <si>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</si>
  <si>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</si>
  <si>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</si>
  <si>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</si>
  <si>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</si>
  <si>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</si>
  <si>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</si>
  <si>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</si>
  <si>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</si>
  <si>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</si>
  <si>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</si>
  <si>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</si>
  <si>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</si>
  <si>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</si>
  <si>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</si>
  <si>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</si>
  <si>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</si>
  <si>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</si>
  <si>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</si>
  <si>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</si>
  <si>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</si>
  <si>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</si>
  <si>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</si>
  <si>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</si>
  <si>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</si>
  <si>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</si>
  <si>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</si>
  <si>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</si>
  <si>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</si>
  <si>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</si>
  <si>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</si>
  <si>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</si>
  <si>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</si>
  <si>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</si>
  <si>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</si>
  <si>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</si>
  <si>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</si>
  <si>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</si>
  <si>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</si>
  <si>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</si>
  <si>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</si>
  <si>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</si>
  <si>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</si>
  <si>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</si>
  <si>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</si>
  <si>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</si>
  <si>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</si>
  <si>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</si>
  <si>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</si>
  <si>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</si>
  <si>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</si>
  <si>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</si>
  <si>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</si>
  <si>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</si>
  <si>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</si>
  <si>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</si>
  <si>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</si>
  <si>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</si>
  <si>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</si>
  <si>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</si>
  <si>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</si>
  <si>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</si>
  <si>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</si>
  <si>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</si>
  <si>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</si>
  <si>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</si>
  <si>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</si>
  <si>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</si>
  <si>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</si>
  <si>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</si>
  <si>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</si>
  <si>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</si>
  <si>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</si>
  <si>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</si>
  <si>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</si>
  <si>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</si>
  <si>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</si>
  <si>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</si>
  <si>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</si>
  <si>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</si>
  <si>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</si>
  <si>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</si>
  <si>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Grand Total</t>
  </si>
  <si>
    <t xml:space="preserve"> </t>
  </si>
  <si>
    <t>Work Environment</t>
  </si>
  <si>
    <t>Job Engagement</t>
  </si>
  <si>
    <t>Work Relationships</t>
  </si>
  <si>
    <t>Attrition_Count</t>
  </si>
  <si>
    <t>Attrition Rate(%)</t>
  </si>
  <si>
    <t>Overtime Rate(%)</t>
  </si>
  <si>
    <t>Average Tenure (Years)</t>
  </si>
  <si>
    <t>Average Performance Rating</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</si>
  <si>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</si>
  <si>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</si>
  <si>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</si>
  <si>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</si>
  <si>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</si>
  <si>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</si>
  <si>
    <t>Department-wise Employee Attrition Count</t>
  </si>
  <si>
    <t>Employee Attrition Distribution by Gender</t>
  </si>
  <si>
    <t>Department-wise Attrition and Overtime Analysis</t>
  </si>
  <si>
    <t>Department-wise Performance and Employee Tenure Analysis</t>
  </si>
  <si>
    <t>HR Attrition Dashboard - KPI Summary</t>
  </si>
  <si>
    <t>Row Labels</t>
  </si>
  <si>
    <t>Work Life Balance</t>
  </si>
  <si>
    <t>Department Experience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</si>
</sst>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7" x14ac:knownFonts="1">
    <font>
      <sz val="11"/>
      <color theme="1"/>
      <name val="Calibri"/>
      <family val="2"/>
      <scheme val="minor"/>
    </font>
    <font>
      <b/>
      <sz val="20"/>
      <color theme="0"/>
      <name val="Amasis MT Pro"/>
      <family val="1"/>
    </font>
    <font>
      <b/>
      <sz val="18"/>
      <color theme="0"/>
      <name val="Amasis MT Pro"/>
      <family val="1"/>
    </font>
    <font>
      <b/>
      <sz val="10"/>
      <color theme="0"/>
      <name val="Amasis MT Pro"/>
      <family val="1"/>
    </font>
    <font>
      <b/>
      <sz val="11"/>
      <color theme="0"/>
      <name val="Calibri"/>
      <family val="2"/>
      <scheme val="minor"/>
    </font>
    <font>
      <b/>
      <sz val="12"/>
      <color theme="0"/>
      <name val="Calibri"/>
      <family val="2"/>
      <scheme val="minor"/>
    </font>
    <font>
      <b/>
      <sz val="14"/>
      <color theme="0"/>
      <name val="Calibri"/>
      <family val="2"/>
      <scheme val="minor"/>
    </font>
  </fonts>
  <fills count="5">
    <fill>
      <patternFill patternType="none"/>
    </fill>
    <fill>
      <patternFill patternType="gray125"/>
    </fill>
    <fill>
      <patternFill patternType="solid">
        <fgColor theme="9" tint="-0.249977111117893"/>
        <bgColor indexed="64"/>
      </patternFill>
    </fill>
    <fill>
      <patternFill patternType="solid">
        <fgColor theme="0"/>
        <bgColor indexed="64"/>
      </patternFill>
    </fill>
    <fill>
      <patternFill patternType="solid">
        <fgColor theme="9" tint="0.39997558519241921"/>
        <bgColor indexed="64"/>
      </patternFill>
    </fill>
  </fills>
  <borders count="5">
    <border>
      <left/>
      <right/>
      <top/>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top/>
      <bottom/>
      <diagonal/>
    </border>
    <border>
      <left/>
      <right style="thin">
        <color theme="9" tint="-0.249977111117893"/>
      </right>
      <top/>
      <bottom style="thin">
        <color theme="9" tint="-0.249977111117893"/>
      </bottom>
      <diagonal/>
    </border>
    <border>
      <left/>
      <right style="thin">
        <color theme="9" tint="-0.249977111117893"/>
      </right>
      <top style="thin">
        <color theme="9" tint="-0.249977111117893"/>
      </top>
      <bottom style="thin">
        <color theme="9" tint="-0.249977111117893"/>
      </bottom>
      <diagonal/>
    </border>
  </borders>
  <cellStyleXfs count="1">
    <xf numFmtId="0" fontId="0" fillId="0" borderId="0"/>
  </cellStyleXfs>
  <cellXfs count="19">
    <xf numFmtId="0" fontId="0" fillId="0" borderId="0" xfId="0"/>
    <xf numFmtId="14" fontId="0" fillId="0" borderId="0" xfId="0" applyNumberFormat="1"/>
    <xf numFmtId="0" fontId="0" fillId="0" borderId="0" xfId="0" pivotButton="1"/>
    <xf numFmtId="0" fontId="0" fillId="0" borderId="0" xfId="0" applyAlignment="1">
      <alignment horizontal="left"/>
    </xf>
    <xf numFmtId="4" fontId="0" fillId="0" borderId="0" xfId="0" applyNumberFormat="1"/>
    <xf numFmtId="1" fontId="0" fillId="0" borderId="0" xfId="0" applyNumberFormat="1"/>
    <xf numFmtId="165" fontId="0" fillId="0" borderId="0" xfId="0" applyNumberFormat="1"/>
    <xf numFmtId="0" fontId="0" fillId="4" borderId="1" xfId="0" applyFill="1" applyBorder="1"/>
    <xf numFmtId="0" fontId="0" fillId="4" borderId="4" xfId="0" applyFill="1" applyBorder="1"/>
    <xf numFmtId="165" fontId="0" fillId="3" borderId="3" xfId="0" applyNumberFormat="1" applyFill="1" applyBorder="1"/>
    <xf numFmtId="164" fontId="0" fillId="3" borderId="3" xfId="0" applyNumberFormat="1" applyFill="1" applyBorder="1"/>
    <xf numFmtId="0" fontId="1" fillId="2" borderId="0" xfId="0" applyFont="1" applyFill="1" applyAlignment="1">
      <alignment horizontal="left" vertical="center"/>
    </xf>
    <xf numFmtId="0" fontId="5" fillId="2" borderId="0" xfId="0" applyFont="1" applyFill="1" applyAlignment="1">
      <alignment horizontal="center" vertical="center"/>
    </xf>
    <xf numFmtId="0" fontId="4" fillId="2" borderId="0" xfId="0" applyFont="1" applyFill="1" applyAlignment="1">
      <alignment horizontal="center" vertical="center"/>
    </xf>
    <xf numFmtId="0" fontId="6" fillId="2" borderId="2" xfId="0" applyFont="1" applyFill="1" applyBorder="1" applyAlignment="1">
      <alignment horizontal="center"/>
    </xf>
    <xf numFmtId="0" fontId="6" fillId="2" borderId="0" xfId="0" applyFont="1" applyFill="1" applyAlignment="1">
      <alignment horizontal="center"/>
    </xf>
    <xf numFmtId="0" fontId="0" fillId="0" borderId="0" xfId="0" applyNumberFormat="1"/>
    <xf numFmtId="164" fontId="0" fillId="0" borderId="0" xfId="0" applyNumberFormat="1"/>
    <xf numFmtId="0" fontId="0" fillId="3" borderId="3" xfId="0" applyNumberFormat="1" applyFill="1" applyBorder="1"/>
  </cellXfs>
  <cellStyles count="1">
    <cellStyle name="Normal" xfId="0" builtinId="0"/>
  </cellStyles>
  <dxfs count="591">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4" formatCode="#,##0.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0.0"/>
    </dxf>
    <dxf>
      <numFmt numFmtId="165" formatCode="0.0%"/>
    </dxf>
    <dxf>
      <numFmt numFmtId="4" formatCode="#,##0.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0.0"/>
    </dxf>
    <dxf>
      <numFmt numFmtId="165" formatCode="0.0%"/>
    </dxf>
    <dxf>
      <numFmt numFmtId="4" formatCode="#,##0.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5" formatCode="0.0%"/>
    </dxf>
    <dxf>
      <numFmt numFmtId="4" formatCode="#,##0.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164" formatCode="0.0"/>
    </dxf>
    <dxf>
      <numFmt numFmtId="165" formatCode="0.0%"/>
    </dxf>
    <dxf>
      <numFmt numFmtId="165" formatCode="0.0%"/>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4" formatCode="#,##0.00"/>
    </dxf>
    <dxf>
      <numFmt numFmtId="165" formatCode="0.0%"/>
    </dxf>
    <dxf>
      <numFmt numFmtId="164" formatCode="0.0"/>
    </dxf>
    <dxf>
      <numFmt numFmtId="164" formatCode="0.0"/>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numFmt numFmtId="165" formatCode="0.0%"/>
    </dxf>
    <dxf>
      <numFmt numFmtId="165" formatCode="0.0%"/>
    </dxf>
    <dxf>
      <numFmt numFmtId="4" formatCode="#,##0.00"/>
    </dxf>
    <dxf>
      <numFmt numFmtId="165"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590"/>
      <tableStyleElement type="headerRow" dxfId="589"/>
    </tableStyle>
    <tableStyle name="myslicer" pivot="0" table="0" count="10" xr9:uid="{AF04C38B-2A4A-4A70-8619-8E99E934A607}">
      <tableStyleElement type="wholeTable" dxfId="588"/>
      <tableStyleElement type="headerRow" dxfId="587"/>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eetMetadata" Target="metadata.xml"/><Relationship Id="rId21" Type="http://schemas.microsoft.com/office/2007/relationships/slicerCache" Target="slicerCaches/slicerCache2.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63" Type="http://schemas.openxmlformats.org/officeDocument/2006/relationships/customXml" Target="../customXml/item36.xml"/><Relationship Id="rId68" Type="http://schemas.openxmlformats.org/officeDocument/2006/relationships/customXml" Target="../customXml/item4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ustomXml" Target="../customXml/item2.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66" Type="http://schemas.openxmlformats.org/officeDocument/2006/relationships/customXml" Target="../customXml/item39.xml"/><Relationship Id="rId5" Type="http://schemas.openxmlformats.org/officeDocument/2006/relationships/worksheet" Target="worksheets/sheet5.xml"/><Relationship Id="rId61" Type="http://schemas.openxmlformats.org/officeDocument/2006/relationships/customXml" Target="../customXml/item34.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theme" Target="theme/theme1.xml"/><Relationship Id="rId27" Type="http://schemas.openxmlformats.org/officeDocument/2006/relationships/powerPivotData" Target="model/item.data"/><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64" Type="http://schemas.openxmlformats.org/officeDocument/2006/relationships/customXml" Target="../customXml/item37.xml"/><Relationship Id="rId8" Type="http://schemas.openxmlformats.org/officeDocument/2006/relationships/worksheet" Target="worksheets/sheet8.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1.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worksheet" Target="worksheets/sheet10.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[HR_Attrition_Dashboard.xlsx]Pivot_Avg_Employee_Experience!PivotTable2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circle"/>
          <c:size val="5"/>
          <c:spPr>
            <a:solidFill>
              <a:schemeClr val="accent6">
                <a:tint val="54000"/>
              </a:schemeClr>
            </a:solidFill>
            <a:ln w="9525">
              <a:solidFill>
                <a:schemeClr val="accent6">
                  <a:tint val="54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circle"/>
          <c:size val="5"/>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circle"/>
          <c:size val="5"/>
          <c:spPr>
            <a:solidFill>
              <a:schemeClr val="accent6">
                <a:shade val="53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ymbol val="circle"/>
          <c:size val="5"/>
          <c:spPr>
            <a:solidFill>
              <a:schemeClr val="accent6">
                <a:shade val="53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6"/>
            </a:solidFill>
            <a:round/>
          </a:ln>
          <a:effectLst/>
        </c:spPr>
        <c:marker>
          <c:symbol val="circle"/>
          <c:size val="5"/>
          <c:spPr>
            <a:solidFill>
              <a:schemeClr val="accent6">
                <a:lumMod val="50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772623451240992E-2"/>
          <c:y val="0.36289077072913056"/>
          <c:w val="0.87955865276707712"/>
          <c:h val="0.49378299410686871"/>
        </c:manualLayout>
      </c:layout>
      <c:barChart>
        <c:barDir val="col"/>
        <c:grouping val="clustered"/>
        <c:varyColors val="0"/>
        <c:ser>
          <c:idx val="0"/>
          <c:order val="0"/>
          <c:tx>
            <c:strRef>
              <c:f>Pivot_Avg_Employee_Experience!$B$3</c:f>
              <c:strCache>
                <c:ptCount val="1"/>
                <c:pt idx="0">
                  <c:v>Work Life Balance</c:v>
                </c:pt>
              </c:strCache>
            </c:strRef>
          </c:tx>
          <c:spPr>
            <a:solidFill>
              <a:schemeClr val="accent6">
                <a:tint val="54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Pivot_Avg_Employee_Experience!$B$4:$B$11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F7FE-49A5-A36D-C26F3A5C8BBE}"/>
            </c:ext>
          </c:extLst>
        </c:ser>
        <c:ser>
          <c:idx val="1"/>
          <c:order val="1"/>
          <c:tx>
            <c:strRef>
              <c:f>Pivot_Avg_Employee_Experience!$C$3</c:f>
              <c:strCache>
                <c:ptCount val="1"/>
                <c:pt idx="0">
                  <c:v>Job Engagement</c:v>
                </c:pt>
              </c:strCache>
            </c:strRef>
          </c:tx>
          <c:spPr>
            <a:solidFill>
              <a:schemeClr val="accent6">
                <a:tint val="77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Pivot_Avg_Employee_Experience!$C$4:$C$11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F7FE-49A5-A36D-C26F3A5C8BBE}"/>
            </c:ext>
          </c:extLst>
        </c:ser>
        <c:ser>
          <c:idx val="2"/>
          <c:order val="2"/>
          <c:tx>
            <c:strRef>
              <c:f>Pivot_Avg_Employee_Experience!$D$3</c:f>
              <c:strCache>
                <c:ptCount val="1"/>
                <c:pt idx="0">
                  <c:v>Work Environment</c:v>
                </c:pt>
              </c:strCache>
            </c:strRef>
          </c:tx>
          <c:spPr>
            <a:solidFill>
              <a:schemeClr val="accent6"/>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Pivot_Avg_Employee_Experience!$D$4:$D$11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F7FE-49A5-A36D-C26F3A5C8BBE}"/>
            </c:ext>
          </c:extLst>
        </c:ser>
        <c:ser>
          <c:idx val="3"/>
          <c:order val="3"/>
          <c:tx>
            <c:strRef>
              <c:f>Pivot_Avg_Employee_Experience!$E$3</c:f>
              <c:strCache>
                <c:ptCount val="1"/>
                <c:pt idx="0">
                  <c:v>Work Relationships</c:v>
                </c:pt>
              </c:strCache>
            </c:strRef>
          </c:tx>
          <c:spPr>
            <a:solidFill>
              <a:schemeClr val="accent6">
                <a:shade val="76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Pivot_Avg_Employee_Experience!$E$4:$E$11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F7FE-49A5-A36D-C26F3A5C8BBE}"/>
            </c:ext>
          </c:extLst>
        </c:ser>
        <c:dLbls>
          <c:showLegendKey val="0"/>
          <c:showVal val="0"/>
          <c:showCatName val="0"/>
          <c:showSerName val="0"/>
          <c:showPercent val="0"/>
          <c:showBubbleSize val="0"/>
        </c:dLbls>
        <c:gapWidth val="219"/>
        <c:axId val="1985982495"/>
        <c:axId val="1985982975"/>
      </c:barChart>
      <c:lineChart>
        <c:grouping val="standard"/>
        <c:varyColors val="0"/>
        <c:ser>
          <c:idx val="4"/>
          <c:order val="4"/>
          <c:tx>
            <c:strRef>
              <c:f>Pivot_Avg_Employee_Experience!$F$3</c:f>
              <c:strCache>
                <c:ptCount val="1"/>
                <c:pt idx="0">
                  <c:v>Department Experience Score</c:v>
                </c:pt>
              </c:strCache>
            </c:strRef>
          </c:tx>
          <c:spPr>
            <a:ln w="28575" cap="rnd">
              <a:solidFill>
                <a:schemeClr val="accent6">
                  <a:shade val="53000"/>
                </a:schemeClr>
              </a:solidFill>
              <a:round/>
            </a:ln>
            <a:effectLst/>
          </c:spPr>
          <c:marker>
            <c:symbol val="circle"/>
            <c:size val="5"/>
            <c:spPr>
              <a:solidFill>
                <a:schemeClr val="accent6">
                  <a:lumMod val="50000"/>
                </a:schemeClr>
              </a:solidFill>
              <a:ln w="9525">
                <a:solidFill>
                  <a:schemeClr val="accent6">
                    <a:shade val="53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Pivot_Avg_Employee_Experience!$F$4:$F$11</c:f>
              <c:numCache>
                <c:formatCode>0.0</c:formatCode>
                <c:ptCount val="7"/>
                <c:pt idx="0">
                  <c:v>2.875</c:v>
                </c:pt>
                <c:pt idx="1">
                  <c:v>2.9</c:v>
                </c:pt>
                <c:pt idx="2">
                  <c:v>2.6354166666666665</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F7FE-49A5-A36D-C26F3A5C8BBE}"/>
            </c:ext>
          </c:extLst>
        </c:ser>
        <c:dLbls>
          <c:showLegendKey val="0"/>
          <c:showVal val="0"/>
          <c:showCatName val="0"/>
          <c:showSerName val="0"/>
          <c:showPercent val="0"/>
          <c:showBubbleSize val="0"/>
        </c:dLbls>
        <c:marker val="1"/>
        <c:smooth val="0"/>
        <c:axId val="1985982495"/>
        <c:axId val="1985982975"/>
      </c:lineChart>
      <c:catAx>
        <c:axId val="1985982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82975"/>
        <c:crosses val="autoZero"/>
        <c:auto val="1"/>
        <c:lblAlgn val="ctr"/>
        <c:lblOffset val="100"/>
        <c:noMultiLvlLbl val="0"/>
      </c:catAx>
      <c:valAx>
        <c:axId val="19859829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r>
                  <a:rPr lang="en-US" sz="900" b="1" baseline="0"/>
                  <a:t> VALUE</a:t>
                </a:r>
              </a:p>
              <a:p>
                <a:pPr>
                  <a:defRPr sz="900" b="1"/>
                </a:pPr>
                <a:endParaRPr lang="en-US" sz="900" b="1"/>
              </a:p>
            </c:rich>
          </c:tx>
          <c:layout>
            <c:manualLayout>
              <c:xMode val="edge"/>
              <c:yMode val="edge"/>
              <c:x val="2.1902151644884276E-2"/>
              <c:y val="0.44540026889683931"/>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82495"/>
        <c:crosses val="autoZero"/>
        <c:crossBetween val="between"/>
      </c:valAx>
      <c:spPr>
        <a:noFill/>
        <a:ln>
          <a:noFill/>
        </a:ln>
        <a:effectLst/>
      </c:spPr>
    </c:plotArea>
    <c:legend>
      <c:legendPos val="t"/>
      <c:layout>
        <c:manualLayout>
          <c:xMode val="edge"/>
          <c:yMode val="edge"/>
          <c:x val="5.0000032453434193E-2"/>
          <c:y val="0.13454926624737945"/>
          <c:w val="0.89999993509313159"/>
          <c:h val="0.1532946402625293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[HR_Attrition_Dashboard.xlsx]Pivot_DepartmentAttrition_Count!PivotTable12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Pivot_DepartmentAttrition_Count!$B$3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Pivot_DepartmentAttrition_Count!$A$4:$A$11</c:f>
              <c:strCache>
                <c:ptCount val="7"/>
                <c:pt idx="0">
                  <c:v>Customer Success</c:v>
                </c:pt>
                <c:pt idx="1">
                  <c:v>Engineering</c:v>
                </c:pt>
                <c:pt idx="2">
                  <c:v>Finance</c:v>
                </c:pt>
                <c:pt idx="3">
                  <c:v>HR</c:v>
                </c:pt>
                <c:pt idx="4">
                  <c:v>Marketing</c:v>
                </c:pt>
                <c:pt idx="5">
                  <c:v>Operations</c:v>
                </c:pt>
                <c:pt idx="6">
                  <c:v>Sales</c:v>
                </c:pt>
              </c:strCache>
            </c:strRef>
          </c:cat>
          <c:val>
            <c:numRef>
              <c:f>Pivot_DepartmentAttrition_Count!$B$4:$B$11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[HR_Attrition_Dashboard.xlsx]Pivot_Avg_Performance_Tenure!PivotTable7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Pivot_Avg_Performance_Tenure!$B$3</c:f>
              <c:strCache>
                <c:ptCount val="1"/>
                <c:pt idx="0">
                  <c:v>Average Performance Rating</c:v>
                </c:pt>
              </c:strCache>
            </c:strRef>
          </c:tx>
          <c:spPr>
            <a:solidFill>
              <a:schemeClr val="accent6">
                <a:shade val="76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Pivot_Avg_Performance_Tenure!$C$3</c:f>
              <c:strCache>
                <c:ptCount val="1"/>
                <c:pt idx="0">
                  <c:v>Average Tenure (Years)</c:v>
                </c:pt>
              </c:strCache>
            </c:strRef>
          </c:tx>
          <c:spPr>
            <a:solidFill>
              <a:schemeClr val="accent6">
                <a:tint val="77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r>
                  <a:rPr lang="en-US" b="1"/>
                  <a:t>Average</a:t>
                </a:r>
                <a:r>
                  <a:rPr lang="en-US" b="1" baseline="0"/>
                  <a:t> value</a:t>
                </a:r>
                <a:endParaRPr lang="en-US" b="1"/>
              </a:p>
            </c:rich>
          </c:tx>
          <c:layout>
            <c:manualLayout>
              <c:xMode val="edge"/>
              <c:yMode val="edge"/>
              <c:x val="2.6849520196663208E-2"/>
              <c:y val="0.37089812992125987"/>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[HR_Attrition_Dashboard.xlsx]Pivot_Gender_Attrition_Analysis!PivotTable1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19050">
            <a:solidFill>
              <a:schemeClr val="lt1"/>
            </a:solidFill>
          </a:ln>
          <a:effectLst/>
        </c:spPr>
      </c:pivotFmt>
      <c:pivotFmt>
        <c:idx val="7"/>
        <c:spPr>
          <a:solidFill>
            <a:schemeClr val="accent6">
              <a:tint val="77000"/>
            </a:schemeClr>
          </a:solidFill>
          <a:ln w="19050">
            <a:solidFill>
              <a:schemeClr val="lt1"/>
            </a:solidFill>
          </a:ln>
          <a:effectLst/>
        </c:spPr>
      </c:pivotFmt>
    </c:pivotFmts>
    <c:plotArea>
      <c:layout/>
      <c:doughnutChart>
        <c:varyColors val="1"/>
        <c:ser>
          <c:idx val="0"/>
          <c:order val="0"/>
          <c:tx>
            <c:strRef>
              <c:f>Pivot_Gender_Attrition_Analysis!$B$5</c:f>
              <c:strCache>
                <c:ptCount val="1"/>
                <c:pt idx="0">
                  <c:v>Total</c:v>
                </c:pt>
              </c:strCache>
            </c:strRef>
          </c:tx>
          <c:dPt>
            <c:idx val="0"/>
            <c:bubble3D val="0"/>
            <c:spPr>
              <a:solidFill>
                <a:schemeClr val="accent6">
                  <a:shade val="76000"/>
                </a:schemeClr>
              </a:solidFill>
              <a:ln w="19050">
                <a:solidFill>
                  <a:schemeClr val="lt1"/>
                </a:solidFill>
              </a:ln>
              <a:effectLst/>
            </c:spPr>
          </c:dPt>
          <c:dPt>
            <c:idx val="1"/>
            <c:bubble3D val="0"/>
            <c:spPr>
              <a:solidFill>
                <a:schemeClr val="accent6">
                  <a:tint val="77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Pivot_Gender_Attrition_Analysis!$A$6:$A$8</c:f>
              <c:strCache>
                <c:ptCount val="2"/>
                <c:pt idx="0">
                  <c:v>Female</c:v>
                </c:pt>
                <c:pt idx="1">
                  <c:v>Male</c:v>
                </c:pt>
              </c:strCache>
            </c:strRef>
          </c:cat>
          <c:val>
            <c:numRef>
              <c:f>Pivot_Gender_Attrition_Analysis!$B$6:$B$8</c:f>
              <c:numCache>
                <c:formatCode>General</c:formatCode>
                <c:ptCount val="2"/>
                <c:pt idx="0">
                  <c:v>1</c:v>
                </c:pt>
                <c:pt idx="1">
                  <c:v>2</c:v>
                </c:pt>
              </c:numCache>
            </c:numRef>
          </c:val>
          <c:extLst>
            <c:ext xmlns:c16="http://schemas.microsoft.com/office/drawing/2014/chart" uri="{C3380CC4-5D6E-409C-BE32-E72D297353CC}">
              <c16:uniqueId val="{00000008-EE5C-4BFB-BDCC-FB3DA487F603}"/>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[HR_Attrition_Dashboard.xlsx]Pivot_Dept_OT_Attrition_Rate!PivotTable11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rPr>
              <a:t>Attrition &amp; Overtime Rate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Pivot_Dept_OT_Attrition_Rate!$B$3</c:f>
              <c:strCache>
                <c:ptCount val="1"/>
                <c:pt idx="0">
                  <c:v>Overtime 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Pivot_Dept_OT_Attrition_Rate!$B$4:$B$11</c:f>
              <c:numCache>
                <c:formatCode>0.0%</c:formatCode>
                <c:ptCount val="7"/>
                <c:pt idx="0">
                  <c:v>9.4786729857819899E-2</c:v>
                </c:pt>
                <c:pt idx="1">
                  <c:v>0.10559006211180125</c:v>
                </c:pt>
                <c:pt idx="2">
                  <c:v>5.9523809523809521E-2</c:v>
                </c:pt>
                <c:pt idx="3">
                  <c:v>2.4630541871921183E-2</c:v>
                </c:pt>
                <c:pt idx="4">
                  <c:v>8.771929824561403E-2</c:v>
                </c:pt>
                <c:pt idx="5">
                  <c:v>4.7808764940239043E-2</c:v>
                </c:pt>
                <c:pt idx="6">
                  <c:v>0.11936339522546419</c:v>
                </c:pt>
              </c:numCache>
            </c:numRef>
          </c:val>
          <c:extLst>
            <c:ext xmlns:c16="http://schemas.microsoft.com/office/drawing/2014/chart" uri="{C3380CC4-5D6E-409C-BE32-E72D297353CC}">
              <c16:uniqueId val="{00000002-8567-45DB-913E-E53A637F10AB}"/>
            </c:ext>
          </c:extLst>
        </c:ser>
        <c:ser>
          <c:idx val="1"/>
          <c:order val="1"/>
          <c:tx>
            <c:strRef>
              <c:f>Pivot_Dept_OT_Attrition_Rate!$C$3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Pivot_Dept_OT_Attrition_Rate!$C$4:$C$11</c:f>
              <c:numCache>
                <c:formatCode>0.0%</c:formatCode>
                <c:ptCount val="7"/>
                <c:pt idx="2">
                  <c:v>0.125</c:v>
                </c:pt>
                <c:pt idx="3">
                  <c:v>0.1111111111111111</c:v>
                </c:pt>
                <c:pt idx="4">
                  <c:v>7.6923076923076927E-2</c:v>
                </c:pt>
              </c:numCache>
            </c:numRef>
          </c:val>
          <c:extLst>
            <c:ext xmlns:c16="http://schemas.microsoft.com/office/drawing/2014/chart" uri="{C3380CC4-5D6E-409C-BE32-E72D297353CC}">
              <c16:uniqueId val="{00000003-8567-45DB-913E-E53A637F10A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image" Target="../media/image2.svg"/><Relationship Id="rId7" Type="http://schemas.openxmlformats.org/officeDocument/2006/relationships/image" Target="../media/image6.svg"/><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1.png"/><Relationship Id="rId16" Type="http://schemas.openxmlformats.org/officeDocument/2006/relationships/image" Target="../media/image11.png"/><Relationship Id="rId1" Type="http://schemas.openxmlformats.org/officeDocument/2006/relationships/chart" Target="../charts/chart1.xml"/><Relationship Id="rId6" Type="http://schemas.openxmlformats.org/officeDocument/2006/relationships/image" Target="../media/image5.png"/><Relationship Id="rId11" Type="http://schemas.openxmlformats.org/officeDocument/2006/relationships/chart" Target="../charts/chart5.xml"/><Relationship Id="rId5" Type="http://schemas.openxmlformats.org/officeDocument/2006/relationships/image" Target="../media/image4.svg"/><Relationship Id="rId15" Type="http://schemas.openxmlformats.org/officeDocument/2006/relationships/image" Target="../media/image10.svg"/><Relationship Id="rId10" Type="http://schemas.openxmlformats.org/officeDocument/2006/relationships/chart" Target="../charts/chart4.xml"/><Relationship Id="rId19" Type="http://schemas.openxmlformats.org/officeDocument/2006/relationships/image" Target="../media/image14.svg"/><Relationship Id="rId4" Type="http://schemas.openxmlformats.org/officeDocument/2006/relationships/image" Target="../media/image3.png"/><Relationship Id="rId9" Type="http://schemas.openxmlformats.org/officeDocument/2006/relationships/chart" Target="../charts/chart3.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9</xdr:col>
      <xdr:colOff>495300</xdr:colOff>
      <xdr:row>19</xdr:row>
      <xdr:rowOff>104776</xdr:rowOff>
    </xdr:from>
    <xdr:to>
      <xdr:col>21</xdr:col>
      <xdr:colOff>1</xdr:colOff>
      <xdr:row>32</xdr:row>
      <xdr:rowOff>85724</xdr:rowOff>
    </xdr:to>
    <xdr:graphicFrame macro="">
      <xdr:nvGraphicFramePr>
        <xdr:cNvPr id="2" name="Chart 1">
          <a:extLst>
            <a:ext uri="{FF2B5EF4-FFF2-40B4-BE49-F238E27FC236}">
              <a16:creationId xmlns:a16="http://schemas.microsoft.com/office/drawing/2014/main" id="{BA51CC7A-1A0A-4163-B0F5-E8A0A2A26F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6200" y="0"/>
          <a:ext cx="438150" cy="438150"/>
        </a:xfrm>
        <a:prstGeom prst="rect">
          <a:avLst/>
        </a:prstGeom>
      </xdr:spPr>
    </xdr:pic>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505825" y="114300"/>
          <a:ext cx="247650" cy="247650"/>
        </a:xfrm>
        <a:prstGeom prst="rect">
          <a:avLst/>
        </a:prstGeom>
      </xdr:spPr>
    </xdr:pic>
    <xdr:clientData/>
  </xdr:twoCellAnchor>
  <xdr:twoCellAnchor>
    <xdr:from>
      <xdr:col>5</xdr:col>
      <xdr:colOff>114300</xdr:colOff>
      <xdr:row>2</xdr:row>
      <xdr:rowOff>28575</xdr:rowOff>
    </xdr:from>
    <xdr:to>
      <xdr:col>7</xdr:col>
      <xdr:colOff>409576</xdr:colOff>
      <xdr:row>6</xdr:row>
      <xdr:rowOff>76201</xdr:rowOff>
    </xdr:to>
    <xdr:grpSp>
      <xdr:nvGrpSpPr>
        <xdr:cNvPr id="4" name="Group 3">
          <a:extLst>
            <a:ext uri="{FF2B5EF4-FFF2-40B4-BE49-F238E27FC236}">
              <a16:creationId xmlns:a16="http://schemas.microsoft.com/office/drawing/2014/main" id="{891BA36A-61F5-7626-B475-7C7F8A94E374}"/>
            </a:ext>
          </a:extLst>
        </xdr:cNvPr>
        <xdr:cNvGrpSpPr/>
      </xdr:nvGrpSpPr>
      <xdr:grpSpPr>
        <a:xfrm>
          <a:off x="3162300" y="409575"/>
          <a:ext cx="1514476" cy="809626"/>
          <a:chOff x="3162300" y="409575"/>
          <a:chExt cx="1514476" cy="809627"/>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31623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3162300" y="419100"/>
            <a:ext cx="1514475" cy="790577"/>
            <a:chOff x="19050" y="428625"/>
            <a:chExt cx="1514475" cy="790576"/>
          </a:xfrm>
        </xdr:grpSpPr>
        <xdr:sp macro="" textlink="KPIs!C4">
          <xdr:nvSpPr>
            <xdr:cNvPr id="60" name="TextBox 59">
              <a:extLst>
                <a:ext uri="{FF2B5EF4-FFF2-40B4-BE49-F238E27FC236}">
                  <a16:creationId xmlns:a16="http://schemas.microsoft.com/office/drawing/2014/main" id="{B31AF3F9-AF8A-6089-0D9C-BA4AEC7D81CF}"/>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C35BEB9-8E11-4FA4-AB77-02D3E8439005}" type="TxLink">
                <a:rPr lang="en-US" sz="3200" b="0" i="0" u="none" strike="noStrike">
                  <a:solidFill>
                    <a:schemeClr val="accent6">
                      <a:lumMod val="50000"/>
                    </a:schemeClr>
                  </a:solidFill>
                  <a:latin typeface="Calibri"/>
                  <a:cs typeface="Calibri"/>
                </a:rPr>
                <a:pPr algn="ctr"/>
                <a:t>8.0%</a:t>
              </a:fld>
              <a:endParaRPr lang="en-US" sz="28700" b="0">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rcRect/>
            <a:stretch/>
          </xdr:blipFill>
          <xdr:spPr>
            <a:xfrm>
              <a:off x="38102" y="438153"/>
              <a:ext cx="257173" cy="257173"/>
            </a:xfrm>
            <a:prstGeom prst="rect">
              <a:avLst/>
            </a:prstGeom>
          </xdr:spPr>
        </xdr:pic>
      </xdr:grpSp>
    </xdr:grpSp>
    <xdr:clientData/>
  </xdr:twoCellAnchor>
  <xdr:twoCellAnchor>
    <xdr:from>
      <xdr:col>17</xdr:col>
      <xdr:colOff>390525</xdr:colOff>
      <xdr:row>2</xdr:row>
      <xdr:rowOff>0</xdr:rowOff>
    </xdr:from>
    <xdr:to>
      <xdr:col>21</xdr:col>
      <xdr:colOff>0</xdr:colOff>
      <xdr:row>6</xdr:row>
      <xdr:rowOff>133350</xdr:rowOff>
    </xdr:to>
    <mc:AlternateContent xmlns:mc="http://schemas.openxmlformats.org/markup-compatibility/2006" xmlns:a14="http://schemas.microsoft.com/office/drawing/2010/main">
      <mc:Choice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734675" y="381000"/>
              <a:ext cx="19050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9523</xdr:colOff>
      <xdr:row>6</xdr:row>
      <xdr:rowOff>104775</xdr:rowOff>
    </xdr:from>
    <xdr:to>
      <xdr:col>8</xdr:col>
      <xdr:colOff>219074</xdr:colOff>
      <xdr:row>19</xdr:row>
      <xdr:rowOff>123824</xdr:rowOff>
    </xdr:to>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533400</xdr:colOff>
      <xdr:row>2</xdr:row>
      <xdr:rowOff>0</xdr:rowOff>
    </xdr:from>
    <xdr:to>
      <xdr:col>17</xdr:col>
      <xdr:colOff>400049</xdr:colOff>
      <xdr:row>6</xdr:row>
      <xdr:rowOff>152400</xdr:rowOff>
    </xdr:to>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48600" y="381000"/>
              <a:ext cx="2895599"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19</xdr:row>
      <xdr:rowOff>123825</xdr:rowOff>
    </xdr:from>
    <xdr:to>
      <xdr:col>9</xdr:col>
      <xdr:colOff>523875</xdr:colOff>
      <xdr:row>32</xdr:row>
      <xdr:rowOff>85725</xdr:rowOff>
    </xdr:to>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571501</xdr:colOff>
      <xdr:row>6</xdr:row>
      <xdr:rowOff>104775</xdr:rowOff>
    </xdr:from>
    <xdr:to>
      <xdr:col>12</xdr:col>
      <xdr:colOff>514351</xdr:colOff>
      <xdr:row>19</xdr:row>
      <xdr:rowOff>123824</xdr:rowOff>
    </xdr:to>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466725</xdr:colOff>
      <xdr:row>6</xdr:row>
      <xdr:rowOff>104775</xdr:rowOff>
    </xdr:from>
    <xdr:to>
      <xdr:col>21</xdr:col>
      <xdr:colOff>0</xdr:colOff>
      <xdr:row>19</xdr:row>
      <xdr:rowOff>123824</xdr:rowOff>
    </xdr:to>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28515</xdr:colOff>
      <xdr:row>2</xdr:row>
      <xdr:rowOff>28575</xdr:rowOff>
    </xdr:from>
    <xdr:to>
      <xdr:col>2</xdr:col>
      <xdr:colOff>333376</xdr:colOff>
      <xdr:row>6</xdr:row>
      <xdr:rowOff>76200</xdr:rowOff>
    </xdr:to>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09575"/>
          <a:ext cx="1524061" cy="809625"/>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KPIs!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pPr algn="ctr"/>
                <a:t>57</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8102" y="438153"/>
              <a:ext cx="257173" cy="257173"/>
            </a:xfrm>
            <a:prstGeom prst="rect">
              <a:avLst/>
            </a:prstGeom>
          </xdr:spPr>
        </xdr:pic>
      </xdr:grpSp>
    </xdr:grpSp>
    <xdr:clientData/>
  </xdr:twoCellAnchor>
  <xdr:twoCellAnchor>
    <xdr:from>
      <xdr:col>2</xdr:col>
      <xdr:colOff>381000</xdr:colOff>
      <xdr:row>2</xdr:row>
      <xdr:rowOff>28575</xdr:rowOff>
    </xdr:from>
    <xdr:to>
      <xdr:col>5</xdr:col>
      <xdr:colOff>66676</xdr:colOff>
      <xdr:row>6</xdr:row>
      <xdr:rowOff>76200</xdr:rowOff>
    </xdr:to>
    <xdr:grpSp>
      <xdr:nvGrpSpPr>
        <xdr:cNvPr id="63" name="Group 62">
          <a:extLst>
            <a:ext uri="{FF2B5EF4-FFF2-40B4-BE49-F238E27FC236}">
              <a16:creationId xmlns:a16="http://schemas.microsoft.com/office/drawing/2014/main" id="{12605112-FA80-0519-5C50-F6170CEAAA3D}"/>
            </a:ext>
          </a:extLst>
        </xdr:cNvPr>
        <xdr:cNvGrpSpPr/>
      </xdr:nvGrpSpPr>
      <xdr:grpSpPr>
        <a:xfrm>
          <a:off x="1600200" y="409575"/>
          <a:ext cx="1514476" cy="809625"/>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KPIs!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pPr algn="ctr"/>
                <a:t>5.0%</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clientData/>
  </xdr:twoCellAnchor>
  <xdr:twoCellAnchor>
    <xdr:from>
      <xdr:col>10</xdr:col>
      <xdr:colOff>190500</xdr:colOff>
      <xdr:row>2</xdr:row>
      <xdr:rowOff>28575</xdr:rowOff>
    </xdr:from>
    <xdr:to>
      <xdr:col>12</xdr:col>
      <xdr:colOff>485776</xdr:colOff>
      <xdr:row>6</xdr:row>
      <xdr:rowOff>76201</xdr:rowOff>
    </xdr:to>
    <xdr:grpSp>
      <xdr:nvGrpSpPr>
        <xdr:cNvPr id="78" name="Group 77">
          <a:extLst>
            <a:ext uri="{FF2B5EF4-FFF2-40B4-BE49-F238E27FC236}">
              <a16:creationId xmlns:a16="http://schemas.microsoft.com/office/drawing/2014/main" id="{1D7BEAA8-A5AC-5BB7-FDD7-323B244C4D98}"/>
            </a:ext>
          </a:extLst>
        </xdr:cNvPr>
        <xdr:cNvGrpSpPr/>
      </xdr:nvGrpSpPr>
      <xdr:grpSpPr>
        <a:xfrm>
          <a:off x="6286500" y="409575"/>
          <a:ext cx="1514476" cy="809626"/>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KPIs!E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B11DC6C-AFF5-4BF5-91D6-85F26D730C09}" type="TxLink">
                <a:rPr lang="en-US" sz="3200" b="0" i="0" u="none" strike="noStrike">
                  <a:solidFill>
                    <a:schemeClr val="accent6">
                      <a:lumMod val="50000"/>
                    </a:schemeClr>
                  </a:solidFill>
                  <a:latin typeface="Calibri"/>
                  <a:cs typeface="Calibri"/>
                </a:rPr>
                <a:pPr algn="ctr"/>
                <a:t>3.7</a:t>
              </a:fld>
              <a:endParaRPr lang="en-US" sz="287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clientData/>
  </xdr:twoCellAnchor>
  <xdr:twoCellAnchor>
    <xdr:from>
      <xdr:col>7</xdr:col>
      <xdr:colOff>457200</xdr:colOff>
      <xdr:row>2</xdr:row>
      <xdr:rowOff>28575</xdr:rowOff>
    </xdr:from>
    <xdr:to>
      <xdr:col>10</xdr:col>
      <xdr:colOff>142876</xdr:colOff>
      <xdr:row>6</xdr:row>
      <xdr:rowOff>76201</xdr:rowOff>
    </xdr:to>
    <xdr:grpSp>
      <xdr:nvGrpSpPr>
        <xdr:cNvPr id="86" name="Group 85">
          <a:extLst>
            <a:ext uri="{FF2B5EF4-FFF2-40B4-BE49-F238E27FC236}">
              <a16:creationId xmlns:a16="http://schemas.microsoft.com/office/drawing/2014/main" id="{EE9CC2D2-7FF4-BA29-EFFC-E3F60AA229E6}"/>
            </a:ext>
          </a:extLst>
        </xdr:cNvPr>
        <xdr:cNvGrpSpPr/>
      </xdr:nvGrpSpPr>
      <xdr:grpSpPr>
        <a:xfrm>
          <a:off x="4724400" y="409575"/>
          <a:ext cx="1514476" cy="809626"/>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KPIs!D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711ED4-E576-47E7-8DDF-81795C9240A6}" type="TxLink">
                <a:rPr lang="en-US" sz="3200" b="0" i="0" u="none" strike="noStrike">
                  <a:solidFill>
                    <a:schemeClr val="accent6">
                      <a:lumMod val="50000"/>
                    </a:schemeClr>
                  </a:solidFill>
                  <a:latin typeface="Calibri"/>
                  <a:cs typeface="Calibri"/>
                </a:rPr>
                <a:pPr algn="ctr"/>
                <a:t>2.7</a:t>
              </a:fld>
              <a:endParaRPr lang="en-US" sz="1234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682858101849" backgroundQuery="1" createdVersion="8" refreshedVersion="8" minRefreshableVersion="3" recordCount="0" supportSubquery="1" supportAdvancedDrill="1" xr:uid="{F4809CA9-BC8E-4F1C-920F-13D1BAF8A3C1}">
  <cacheSource type="external" connectionId="6"/>
  <cacheFields count="2">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73" level="32767"/>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oneField="1" hidden="1">
      <fieldsUsage count="1">
        <fieldUsage x="1"/>
      </fieldsUsage>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682858333334" backgroundQuery="1" createdVersion="8" refreshedVersion="8" minRefreshableVersion="3" recordCount="0" supportSubquery="1" supportAdvancedDrill="1" xr:uid="{18376E4F-C07F-4A96-BFB2-EA6711BB0B98}">
  <cacheSource type="external" connectionId="6"/>
  <cacheFields count="4">
    <cacheField name="[Dim_Employee__1].[Gender].[Gender]" caption="Gender" numFmtId="0" hierarchy="10" level="1">
      <sharedItems count="2">
        <s v="Female"/>
        <s v="Male"/>
      </sharedItems>
    </cacheField>
    <cacheField name="[Fact_Attrition].[Attrition_Status].[Attrition_Status]" caption="Attrition_Status" numFmtId="0" hierarchy="37" level="1">
      <sharedItems containsSemiMixedTypes="0" containsNonDate="0" containsString="0"/>
    </cacheField>
    <cacheField name="[Measures].[Count of Employee_ID 2]" caption="Count of Employee_ID 2" numFmtId="0" hierarchy="70" level="32767"/>
    <cacheField name="[Dim_Employee__1].[Department].[Department]" caption="Department" numFmtId="0" hierarchy="12"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3"/>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682858796295" backgroundQuery="1" createdVersion="8" refreshedVersion="8" minRefreshableVersion="3" recordCount="0" supportSubquery="1" supportAdvancedDrill="1" xr:uid="{3237AEFD-A4A5-4B48-9247-F8E246B1F14B}">
  <cacheSource type="external" connectionId="6"/>
  <cacheFields count="3">
    <cacheField name="[Dim_Employee__1].[Department].[Department]" caption="Department" numFmtId="0" hierarchy="12" level="1">
      <sharedItems count="7">
        <s v="Customer Success"/>
        <s v="Engineering"/>
        <s v="Finance"/>
        <s v="HR"/>
        <s v="Marketing"/>
        <s v="Operations"/>
        <s v="Sales"/>
      </sharedItems>
    </cacheField>
    <cacheField name="[Measures].[Overtime Rate]" caption="Overtime Rate" numFmtId="0" hierarchy="47" level="32767"/>
    <cacheField name="[Measures].[Attrition Rate]" caption="Attrition Rate" numFmtId="0" hierarchy="46" level="32767"/>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oneField="1">
      <fieldsUsage count="1">
        <fieldUsage x="2"/>
      </fieldsUsage>
    </cacheHierarchy>
    <cacheHierarchy uniqueName="[Measures].[Overtime Rate]" caption="Overtime Rate" measure="1" displayFolder="" measureGroup="Fact_Attrition" count="0" oneField="1">
      <fieldsUsage count="1">
        <fieldUsage x="1"/>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682859143519" backgroundQuery="1" createdVersion="8" refreshedVersion="8" minRefreshableVersion="3" recordCount="0" supportSubquery="1" supportAdvancedDrill="1" xr:uid="{1CBB4F05-7972-4AA4-B6A1-3076BCE5B747}">
  <cacheSource type="external" connectionId="6"/>
  <cacheFields count="3">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61" level="32767"/>
    <cacheField name="[Measures].[Average of YearsAtCompany]" caption="Average of YearsAtCompany" numFmtId="0" hierarchy="59" level="32767"/>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oneField="1" hidden="1">
      <fieldsUsage count="1">
        <fieldUsage x="2"/>
      </fieldsUsage>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oneField="1" hidden="1">
      <fieldsUsage count="1">
        <fieldUsage x="1"/>
      </fieldsUsage>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682859722219" backgroundQuery="1" createdVersion="8" refreshedVersion="8" minRefreshableVersion="3" recordCount="0" supportSubquery="1" supportAdvancedDrill="1" xr:uid="{4C9B99B5-272C-4FD8-845C-F76BC6BB59A4}">
  <cacheSource type="external" connectionId="6"/>
  <cacheFields count="6">
    <cacheField name="[Measures].[Current Employees]" caption="Current Employees" numFmtId="0" hierarchy="48" level="32767"/>
    <cacheField name="[Measures].[Attrition Rate]" caption="Attrition Rate" numFmtId="0" hierarchy="46" level="32767"/>
    <cacheField name="[Measures].[Overtime Rate]" caption="Overtime Rate" numFmtId="0" hierarchy="47" level="32767"/>
    <cacheField name="[Measures].[Avg Experience Score]" caption="Avg Experience Score" numFmtId="0" hierarchy="50" level="32767"/>
    <cacheField name="[Measures].[Avg Performance Rating]" caption="Avg Performance Rating" numFmtId="0" hierarchy="49" level="32767"/>
    <cacheField name="[Dim_Employee__1].[Department].[Department]" caption="Department" numFmtId="0" hierarchy="12"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5"/>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oneField="1">
      <fieldsUsage count="1">
        <fieldUsage x="1"/>
      </fieldsUsage>
    </cacheHierarchy>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4"/>
      </fieldsUsage>
    </cacheHierarchy>
    <cacheHierarchy uniqueName="[Measures].[Avg Experience Score]" caption="Avg Experience Score" measure="1" displayFolder="" measureGroup="Fact_Attrition" count="0" oneField="1">
      <fieldsUsage count="1">
        <fieldUsage x="3"/>
      </fieldsUsage>
    </cacheHierarchy>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682860300927" backgroundQuery="1" createdVersion="8" refreshedVersion="8" minRefreshableVersion="3" recordCount="0" supportSubquery="1" supportAdvancedDrill="1" xr:uid="{B182F939-979C-4D6F-AD8C-DA30A60C5FE6}">
  <cacheSource type="external" connectionId="6"/>
  <cacheFields count="6">
    <cacheField name="[Dim_Employee__1].[Department].[Department]" caption="Department" numFmtId="0" hierarchy="12" level="1">
      <sharedItems count="7">
        <s v="Customer Success"/>
        <s v="Engineering"/>
        <s v="Finance"/>
        <s v="HR"/>
        <s v="Marketing"/>
        <s v="Operations"/>
        <s v="Sales"/>
      </sharedItems>
    </cacheField>
    <cacheField name="[Measures].[Average of Work_Life_Balance]" caption="Average of Work_Life_Balance" numFmtId="0" hierarchy="67" level="32767"/>
    <cacheField name="[Measures].[Average of Job_Involvement]" caption="Average of Job_Involvement" numFmtId="0" hierarchy="66" level="32767"/>
    <cacheField name="[Measures].[Average of Environment_Satisfaction]" caption="Average of Environment_Satisfaction" numFmtId="0" hierarchy="65" level="32767"/>
    <cacheField name="[Measures].[Average of Relationship_Satisfaction]" caption="Average of Relationship_Satisfaction" numFmtId="0" hierarchy="72" level="32767"/>
    <cacheField name="[Measures].[Average of Experience_Score]" caption="Average of Experience_Score" numFmtId="0" hierarchy="75" level="32767"/>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oneField="1" hidden="1">
      <fieldsUsage count="1">
        <fieldUsage x="3"/>
      </fieldsUsage>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oneField="1" hidden="1">
      <fieldsUsage count="1">
        <fieldUsage x="2"/>
      </fieldsUsage>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oneField="1" hidden="1">
      <fieldsUsage count="1">
        <fieldUsage x="1"/>
      </fieldsUsage>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oneField="1" hidden="1">
      <fieldsUsage count="1">
        <fieldUsage x="4"/>
      </fieldsUsage>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oneField="1" hidden="1">
      <fieldsUsage count="1">
        <fieldUsage x="5"/>
      </fieldsUsage>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74415856483" backgroundQuery="1" createdVersion="3" refreshedVersion="8" minRefreshableVersion="3" recordCount="0" supportSubquery="1" supportAdvancedDrill="1" xr:uid="{290B8188-778D-42C8-B3E3-5A013DF605AD}">
  <cacheSource type="external" connectionId="6">
    <extLst>
      <ext xmlns:x14="http://schemas.microsoft.com/office/spreadsheetml/2009/9/main" uri="{F057638F-6D5F-4e77-A914-E7F072B9BCA8}">
        <x14:sourceConnection name="ThisWorkbookDataModel"/>
      </ext>
    </extLst>
  </cacheSource>
  <cacheFields count="0"/>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3"/>
        </ext>
      </extLst>
    </cacheHierarchy>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4938405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450"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1" rowHeaderCaption="Department">
  <location ref="A3:B11"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ies>
  <pivotTableStyleInfo name="PivotStyleLight21"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453"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9" rowHeaderCaption="Gender">
  <location ref="A5:B8" firstHeaderRow="1" firstDataRow="1" firstDataCol="1" rowPageCount="1" colPageCount="1"/>
  <pivotFields count="4">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pageFields count="1">
    <pageField fld="1" hier="37"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456"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21" rowHeaderCaption="Department">
  <location ref="A3:C11" firstHeaderRow="0"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dataFields count="2">
    <dataField fld="1" subtotal="count" baseField="0" baseItem="0"/>
    <dataField fld="2" subtotal="count" baseField="0" baseItem="0"/>
  </dataFields>
  <formats count="1">
    <format dxfId="559">
      <pivotArea outline="0" collapsedLevelsAreSubtotals="1" fieldPosition="0"/>
    </format>
  </formats>
  <chartFormats count="2">
    <chartFormat chart="7" format="10" series="1">
      <pivotArea type="data" outline="0" fieldPosition="0">
        <references count="1">
          <reference field="4294967294" count="1" selected="0">
            <x v="0"/>
          </reference>
        </references>
      </pivotArea>
    </chartFormat>
    <chartFormat chart="7" format="11" series="1">
      <pivotArea type="data" outline="0" fieldPosition="0">
        <references count="1">
          <reference field="4294967294"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 Rate(%)"/>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756E-BF87-4639-8AFB-BC907EDCE356}" name="PivotTable2" cacheId="4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F11" firstHeaderRow="0" firstDataRow="1" firstDataCol="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5">
    <i>
      <x/>
    </i>
    <i i="1">
      <x v="1"/>
    </i>
    <i i="2">
      <x v="2"/>
    </i>
    <i i="3">
      <x v="3"/>
    </i>
    <i i="4">
      <x v="4"/>
    </i>
  </colItems>
  <dataFields count="5">
    <dataField name="Work Life Balance" fld="1" subtotal="average" baseField="0" baseItem="0"/>
    <dataField name="Job Engagement" fld="2" subtotal="average" baseField="0" baseItem="0"/>
    <dataField name="Work Environment" fld="3" subtotal="average" baseField="0" baseItem="0"/>
    <dataField name="Work Relationships" fld="4" subtotal="average" baseField="0" baseItem="0"/>
    <dataField name="Department Experience Score" fld="5" subtotal="average" baseField="0" baseItem="0"/>
  </dataFields>
  <formats count="1">
    <format dxfId="525">
      <pivotArea outline="0" collapsedLevelsAreSubtotals="1" fieldPosition="0"/>
    </format>
  </formats>
  <chartFormats count="5">
    <chartFormat chart="10" format="10" series="1">
      <pivotArea type="data" outline="0" fieldPosition="0">
        <references count="1">
          <reference field="4294967294" count="1" selected="0">
            <x v="0"/>
          </reference>
        </references>
      </pivotArea>
    </chartFormat>
    <chartFormat chart="10" format="11" series="1">
      <pivotArea type="data" outline="0" fieldPosition="0">
        <references count="1">
          <reference field="4294967294" count="1" selected="0">
            <x v="1"/>
          </reference>
        </references>
      </pivotArea>
    </chartFormat>
    <chartFormat chart="10" format="12" series="1">
      <pivotArea type="data" outline="0" fieldPosition="0">
        <references count="1">
          <reference field="4294967294" count="1" selected="0">
            <x v="2"/>
          </reference>
        </references>
      </pivotArea>
    </chartFormat>
    <chartFormat chart="10" format="13" series="1">
      <pivotArea type="data" outline="0" fieldPosition="0">
        <references count="1">
          <reference field="4294967294" count="1" selected="0">
            <x v="3"/>
          </reference>
        </references>
      </pivotArea>
    </chartFormat>
    <chartFormat chart="10" format="14" series="1">
      <pivotArea type="data" outline="0" fieldPosition="0">
        <references count="1">
          <reference field="4294967294" count="1" selected="0">
            <x v="4"/>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 Life Balance"/>
    <pivotHierarchy dragToData="1"/>
    <pivotHierarchy dragToData="1"/>
    <pivotHierarchy dragToData="1"/>
    <pivotHierarchy dragToData="1"/>
    <pivotHierarchy dragToData="1" caption="Work Relationships"/>
    <pivotHierarchy dragToData="1"/>
    <pivotHierarchy dragToData="1"/>
    <pivotHierarchy dragToData="1" caption="Department Experience Score"/>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459"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18" rowHeaderCaption="Department">
  <location ref="A3:C11" firstHeaderRow="0"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558">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462"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numFmtId="165"/>
    <dataField fld="3" subtotal="count" baseField="0" baseItem="0"/>
    <dataField fld="4" subtotal="count" baseField="0" baseItem="0"/>
  </dataFields>
  <formats count="32">
    <format dxfId="557">
      <pivotArea outline="0" collapsedLevelsAreSubtotals="1" fieldPosition="0">
        <references count="1">
          <reference field="4294967294" count="1" selected="0">
            <x v="1"/>
          </reference>
        </references>
      </pivotArea>
    </format>
    <format dxfId="556">
      <pivotArea outline="0" collapsedLevelsAreSubtotals="1" fieldPosition="0">
        <references count="1">
          <reference field="4294967294" count="1" selected="0">
            <x v="2"/>
          </reference>
        </references>
      </pivotArea>
    </format>
    <format dxfId="555">
      <pivotArea outline="0" collapsedLevelsAreSubtotals="1" fieldPosition="0">
        <references count="1">
          <reference field="4294967294" count="1" selected="0">
            <x v="4"/>
          </reference>
        </references>
      </pivotArea>
    </format>
    <format dxfId="554">
      <pivotArea dataOnly="0" labelOnly="1" outline="0" fieldPosition="0">
        <references count="1">
          <reference field="4294967294" count="1">
            <x v="4"/>
          </reference>
        </references>
      </pivotArea>
    </format>
    <format dxfId="553">
      <pivotArea dataOnly="0" labelOnly="1" outline="0" fieldPosition="0">
        <references count="1">
          <reference field="4294967294" count="5">
            <x v="0"/>
            <x v="1"/>
            <x v="2"/>
            <x v="3"/>
            <x v="4"/>
          </reference>
        </references>
      </pivotArea>
    </format>
    <format dxfId="552">
      <pivotArea dataOnly="0" labelOnly="1" outline="0" fieldPosition="0">
        <references count="1">
          <reference field="4294967294" count="1">
            <x v="2"/>
          </reference>
        </references>
      </pivotArea>
    </format>
    <format dxfId="551">
      <pivotArea dataOnly="0" labelOnly="1" outline="0" fieldPosition="0">
        <references count="1">
          <reference field="4294967294" count="1">
            <x v="3"/>
          </reference>
        </references>
      </pivotArea>
    </format>
    <format dxfId="550">
      <pivotArea dataOnly="0" labelOnly="1" outline="0" fieldPosition="0">
        <references count="1">
          <reference field="4294967294" count="1">
            <x v="1"/>
          </reference>
        </references>
      </pivotArea>
    </format>
    <format dxfId="549">
      <pivotArea dataOnly="0" labelOnly="1" outline="0" fieldPosition="0">
        <references count="1">
          <reference field="4294967294" count="1">
            <x v="0"/>
          </reference>
        </references>
      </pivotArea>
    </format>
    <format dxfId="548">
      <pivotArea outline="0" collapsedLevelsAreSubtotals="1" fieldPosition="0"/>
    </format>
    <format dxfId="547">
      <pivotArea outline="0" collapsedLevelsAreSubtotals="1" fieldPosition="0">
        <references count="1">
          <reference field="4294967294" count="1" selected="0">
            <x v="3"/>
          </reference>
        </references>
      </pivotArea>
    </format>
    <format dxfId="546">
      <pivotArea outline="0" collapsedLevelsAreSubtotals="1" fieldPosition="0">
        <references count="1">
          <reference field="4294967294" count="1" selected="0">
            <x v="2"/>
          </reference>
        </references>
      </pivotArea>
    </format>
    <format dxfId="545">
      <pivotArea outline="0" collapsedLevelsAreSubtotals="1" fieldPosition="0">
        <references count="1">
          <reference field="4294967294" count="1" selected="0">
            <x v="1"/>
          </reference>
        </references>
      </pivotArea>
    </format>
    <format dxfId="544">
      <pivotArea outline="0" collapsedLevelsAreSubtotals="1" fieldPosition="0">
        <references count="1">
          <reference field="4294967294" count="1" selected="0">
            <x v="0"/>
          </reference>
        </references>
      </pivotArea>
    </format>
    <format dxfId="543">
      <pivotArea dataOnly="0" labelOnly="1" outline="0" fieldPosition="0">
        <references count="1">
          <reference field="4294967294" count="1">
            <x v="0"/>
          </reference>
        </references>
      </pivotArea>
    </format>
    <format dxfId="542">
      <pivotArea dataOnly="0" labelOnly="1" outline="0" fieldPosition="0">
        <references count="1">
          <reference field="4294967294" count="1">
            <x v="1"/>
          </reference>
        </references>
      </pivotArea>
    </format>
    <format dxfId="541">
      <pivotArea dataOnly="0" labelOnly="1" outline="0" fieldPosition="0">
        <references count="1">
          <reference field="4294967294" count="1">
            <x v="2"/>
          </reference>
        </references>
      </pivotArea>
    </format>
    <format dxfId="540">
      <pivotArea dataOnly="0" labelOnly="1" outline="0" fieldPosition="0">
        <references count="1">
          <reference field="4294967294" count="1">
            <x v="3"/>
          </reference>
        </references>
      </pivotArea>
    </format>
    <format dxfId="539">
      <pivotArea dataOnly="0" labelOnly="1" outline="0" fieldPosition="0">
        <references count="1">
          <reference field="4294967294" count="1">
            <x v="4"/>
          </reference>
        </references>
      </pivotArea>
    </format>
    <format dxfId="538">
      <pivotArea type="all" dataOnly="0" outline="0" fieldPosition="0"/>
    </format>
    <format dxfId="537">
      <pivotArea outline="0" collapsedLevelsAreSubtotals="1" fieldPosition="0"/>
    </format>
    <format dxfId="536">
      <pivotArea dataOnly="0" labelOnly="1" outline="0" fieldPosition="0">
        <references count="1">
          <reference field="4294967294" count="5">
            <x v="0"/>
            <x v="1"/>
            <x v="2"/>
            <x v="3"/>
            <x v="4"/>
          </reference>
        </references>
      </pivotArea>
    </format>
    <format dxfId="535">
      <pivotArea dataOnly="0" labelOnly="1" outline="0" fieldPosition="0">
        <references count="1">
          <reference field="4294967294" count="1">
            <x v="0"/>
          </reference>
        </references>
      </pivotArea>
    </format>
    <format dxfId="534">
      <pivotArea dataOnly="0" labelOnly="1" outline="0" fieldPosition="0">
        <references count="1">
          <reference field="4294967294" count="1">
            <x v="1"/>
          </reference>
        </references>
      </pivotArea>
    </format>
    <format dxfId="533">
      <pivotArea dataOnly="0" labelOnly="1" outline="0" fieldPosition="0">
        <references count="1">
          <reference field="4294967294" count="1">
            <x v="2"/>
          </reference>
        </references>
      </pivotArea>
    </format>
    <format dxfId="532">
      <pivotArea dataOnly="0" labelOnly="1" outline="0" fieldPosition="0">
        <references count="1">
          <reference field="4294967294" count="1">
            <x v="3"/>
          </reference>
        </references>
      </pivotArea>
    </format>
    <format dxfId="531">
      <pivotArea dataOnly="0" labelOnly="1" outline="0" fieldPosition="0">
        <references count="1">
          <reference field="4294967294" count="1">
            <x v="4"/>
          </reference>
        </references>
      </pivotArea>
    </format>
    <format dxfId="530">
      <pivotArea outline="0" collapsedLevelsAreSubtotals="1" fieldPosition="0">
        <references count="1">
          <reference field="4294967294" count="1" selected="0">
            <x v="0"/>
          </reference>
        </references>
      </pivotArea>
    </format>
    <format dxfId="529">
      <pivotArea outline="0" collapsedLevelsAreSubtotals="1" fieldPosition="0">
        <references count="1">
          <reference field="4294967294" count="1" selected="0">
            <x v="1"/>
          </reference>
        </references>
      </pivotArea>
    </format>
    <format dxfId="528">
      <pivotArea outline="0" collapsedLevelsAreSubtotals="1" fieldPosition="0">
        <references count="1">
          <reference field="4294967294" count="1" selected="0">
            <x v="2"/>
          </reference>
        </references>
      </pivotArea>
    </format>
    <format dxfId="527">
      <pivotArea outline="0" collapsedLevelsAreSubtotals="1" fieldPosition="0">
        <references count="1">
          <reference field="4294967294" count="1" selected="0">
            <x v="3"/>
          </reference>
        </references>
      </pivotArea>
    </format>
    <format dxfId="526">
      <pivotArea outline="0" collapsedLevelsAreSubtotals="1" fieldPosition="0">
        <references count="1">
          <reference field="4294967294" count="1" selected="0">
            <x v="4"/>
          </reference>
        </references>
      </pivotArea>
    </format>
  </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8" name="PivotTable11"/>
    <pivotTable tabId="13" name="PivotTable7"/>
    <pivotTable tabId="35" name="PivotTable23"/>
    <pivotTable tabId="38" name="PivotTable2"/>
  </pivotTables>
  <data>
    <olap pivotCacheId="1149384053">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3" name="PivotTable7"/>
    <pivotTable tabId="18" name="PivotTable11"/>
    <pivotTable tabId="20" name="PivotTable1"/>
    <pivotTable tabId="38" name="PivotTable2"/>
  </pivotTables>
  <data>
    <olap pivotCacheId="1149384053">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586"/>
    <tableColumn id="2" xr3:uid="{84052E1B-5B0A-412B-9E93-92297232CA71}" uniqueName="2" name="Employee_ID" queryTableFieldId="2" dataDxfId="585"/>
    <tableColumn id="3" xr3:uid="{1070FF64-38D3-49BA-8D6A-044541B7A937}" uniqueName="3" name="Date_ID" queryTableFieldId="3" dataDxfId="584"/>
    <tableColumn id="4" xr3:uid="{6ED96138-2046-4D0C-9EBF-D58776E571E8}" uniqueName="4" name="Attrition_Status" queryTableFieldId="4" dataDxfId="583"/>
    <tableColumn id="5" xr3:uid="{B731C2B2-2466-4038-98B8-03C7C56B1DCE}" uniqueName="5" name="Attrition_Status_1" queryTableFieldId="5" dataDxfId="582"/>
    <tableColumn id="6" xr3:uid="{DBA68B2B-11BD-4583-8E94-039C337C64A4}" uniqueName="6" name="Monthly_Income" queryTableFieldId="6"/>
    <tableColumn id="7" xr3:uid="{F70A9823-0CF9-4C9B-8AB8-B4C835C13098}" uniqueName="7" name="OverTime" queryTableFieldId="7" dataDxfId="581"/>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580"/>
    <tableColumn id="2" xr3:uid="{94A2F1D5-16E7-4E41-B409-238FF9E374F2}" uniqueName="2" name="Full_Name" queryTableFieldId="2" dataDxfId="579"/>
    <tableColumn id="3" xr3:uid="{73A3718B-65AF-430A-ACCF-C7568A3122A6}" uniqueName="3" name="Gender" queryTableFieldId="3" dataDxfId="578"/>
    <tableColumn id="4" xr3:uid="{22619D2D-AD3E-4212-82C0-E66F8FE23D17}" uniqueName="4" name="Age" queryTableFieldId="4"/>
    <tableColumn id="5" xr3:uid="{4744766D-7223-44F0-B08D-BE31F8E9AD98}" uniqueName="5" name="Department" queryTableFieldId="5" dataDxfId="577"/>
    <tableColumn id="6" xr3:uid="{8EEA061D-B2F3-4688-B950-2C2A6A4EF16B}" uniqueName="6" name="Job_Role" queryTableFieldId="6" dataDxfId="576"/>
    <tableColumn id="7" xr3:uid="{158F0EC3-EA28-49B3-9A66-BF3D1433A1C0}" uniqueName="7" name="Education_Level" queryTableFieldId="7" dataDxfId="575"/>
    <tableColumn id="8" xr3:uid="{441CE745-8687-46D5-8B81-2BADCA34A554}" uniqueName="8" name="Marital_Status" queryTableFieldId="8" dataDxfId="574"/>
    <tableColumn id="9" xr3:uid="{41BA9FE1-1D4A-487A-978F-BAF97E1C972F}" uniqueName="9" name="Hire_Date" queryTableFieldId="9" dataDxfId="573"/>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57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571"/>
    <tableColumn id="2" xr3:uid="{7A3EA04E-B891-4817-B74E-D4BE55806D2F}" uniqueName="2" name="Date" queryTableFieldId="2" dataDxfId="570"/>
    <tableColumn id="3" xr3:uid="{D7E12BFC-1F5E-4258-84FC-1D2E70DA8DE8}" uniqueName="3" name="Month" queryTableFieldId="3" dataDxfId="569"/>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56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567"/>
    <tableColumn id="2" xr3:uid="{042E6865-EE7E-4F5B-AF1D-496E92BB5E29}" uniqueName="2" name="Employee_ID" queryTableFieldId="2" dataDxfId="566"/>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565"/>
    <tableColumn id="2" xr3:uid="{0AEB8978-E8FE-4562-A988-85DA3FC22142}" uniqueName="2" name="Employee_ID" queryTableFieldId="2" dataDxfId="564"/>
    <tableColumn id="3" xr3:uid="{F5FB0E22-B9C4-498C-8743-3EDCDE6099C1}" uniqueName="3" name="Year" queryTableFieldId="3" dataDxfId="563"/>
    <tableColumn id="4" xr3:uid="{DF15CA23-22EB-448D-97C9-9569992DE9FB}" uniqueName="4" name="Performance_Rating" queryTableFieldId="4" dataDxfId="562"/>
    <tableColumn id="5" xr3:uid="{33FA9051-1DB4-4511-93D1-14B621C5B422}" uniqueName="5" name="Last_Promotion_Year" queryTableFieldId="5" dataDxfId="561"/>
    <tableColumn id="6" xr3:uid="{A70D4905-CD7F-4374-9923-257CBEDD4DE1}" uniqueName="6" name="Manager_Feedback" queryTableFieldId="6" dataDxfId="56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election activeCell="E14" sqref="A2:G181"/>
    </sheetView>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1:B11"/>
  <sheetViews>
    <sheetView workbookViewId="0">
      <selection activeCell="C5" sqref="C5"/>
    </sheetView>
  </sheetViews>
  <sheetFormatPr defaultRowHeight="15" x14ac:dyDescent="0.25"/>
  <cols>
    <col min="1" max="1" width="16.85546875" bestFit="1" customWidth="1"/>
    <col min="2" max="2" width="15" bestFit="1" customWidth="1"/>
    <col min="3" max="3" width="11.28515625" customWidth="1"/>
  </cols>
  <sheetData>
    <row r="1" spans="1:2" ht="17.25" customHeight="1" x14ac:dyDescent="0.25">
      <c r="A1" s="12" t="s">
        <v>2445</v>
      </c>
      <c r="B1" s="12"/>
    </row>
    <row r="3" spans="1:2" x14ac:dyDescent="0.25">
      <c r="A3" s="2" t="s">
        <v>53</v>
      </c>
      <c r="B3" t="s">
        <v>2434</v>
      </c>
    </row>
    <row r="4" spans="1:2" x14ac:dyDescent="0.25">
      <c r="A4" s="3" t="s">
        <v>81</v>
      </c>
      <c r="B4" s="5">
        <v>0</v>
      </c>
    </row>
    <row r="5" spans="1:2" x14ac:dyDescent="0.25">
      <c r="A5" s="3" t="s">
        <v>178</v>
      </c>
      <c r="B5" s="5">
        <v>0</v>
      </c>
    </row>
    <row r="6" spans="1:2" x14ac:dyDescent="0.25">
      <c r="A6" s="3" t="s">
        <v>64</v>
      </c>
      <c r="B6" s="5">
        <v>1</v>
      </c>
    </row>
    <row r="7" spans="1:2" x14ac:dyDescent="0.25">
      <c r="A7" s="3" t="s">
        <v>114</v>
      </c>
      <c r="B7" s="5">
        <v>1</v>
      </c>
    </row>
    <row r="8" spans="1:2" x14ac:dyDescent="0.25">
      <c r="A8" s="3" t="s">
        <v>75</v>
      </c>
      <c r="B8" s="5">
        <v>1</v>
      </c>
    </row>
    <row r="9" spans="1:2" x14ac:dyDescent="0.25">
      <c r="A9" s="3" t="s">
        <v>91</v>
      </c>
      <c r="B9" s="5">
        <v>0</v>
      </c>
    </row>
    <row r="10" spans="1:2" x14ac:dyDescent="0.25">
      <c r="A10" s="3" t="s">
        <v>97</v>
      </c>
      <c r="B10" s="5">
        <v>0</v>
      </c>
    </row>
    <row r="11" spans="1:2" x14ac:dyDescent="0.25">
      <c r="A11" s="3" t="s">
        <v>2429</v>
      </c>
      <c r="B11" s="5">
        <v>3</v>
      </c>
    </row>
  </sheetData>
  <mergeCells count="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8"/>
  <sheetViews>
    <sheetView workbookViewId="0">
      <selection activeCell="C14" sqref="C14"/>
    </sheetView>
  </sheetViews>
  <sheetFormatPr defaultRowHeight="15" x14ac:dyDescent="0.25"/>
  <cols>
    <col min="1" max="1" width="15.140625" bestFit="1" customWidth="1"/>
    <col min="2" max="2" width="15" bestFit="1" customWidth="1"/>
    <col min="3" max="3" width="21" bestFit="1" customWidth="1"/>
  </cols>
  <sheetData>
    <row r="1" spans="1:2" ht="15.75" x14ac:dyDescent="0.25">
      <c r="A1" s="12" t="s">
        <v>2446</v>
      </c>
      <c r="B1" s="12"/>
    </row>
    <row r="3" spans="1:2" x14ac:dyDescent="0.25">
      <c r="A3" s="2" t="s">
        <v>623</v>
      </c>
      <c r="B3" t="s" vm="1">
        <v>651</v>
      </c>
    </row>
    <row r="5" spans="1:2" x14ac:dyDescent="0.25">
      <c r="A5" s="2" t="s">
        <v>51</v>
      </c>
      <c r="B5" t="s">
        <v>2434</v>
      </c>
    </row>
    <row r="6" spans="1:2" x14ac:dyDescent="0.25">
      <c r="A6" s="3" t="s">
        <v>63</v>
      </c>
      <c r="B6" s="16">
        <v>1</v>
      </c>
    </row>
    <row r="7" spans="1:2" x14ac:dyDescent="0.25">
      <c r="A7" s="3" t="s">
        <v>71</v>
      </c>
      <c r="B7" s="16">
        <v>2</v>
      </c>
    </row>
    <row r="8" spans="1:2" x14ac:dyDescent="0.25">
      <c r="A8" s="3" t="s">
        <v>2429</v>
      </c>
      <c r="B8" s="16">
        <v>3</v>
      </c>
    </row>
  </sheetData>
  <mergeCells count="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1:G11"/>
  <sheetViews>
    <sheetView workbookViewId="0">
      <selection activeCell="E14" sqref="E14"/>
    </sheetView>
  </sheetViews>
  <sheetFormatPr defaultRowHeight="15" x14ac:dyDescent="0.25"/>
  <cols>
    <col min="1" max="1" width="16.85546875" bestFit="1" customWidth="1"/>
    <col min="2" max="2" width="17" bestFit="1" customWidth="1"/>
    <col min="3" max="3" width="16.140625" bestFit="1" customWidth="1"/>
    <col min="4" max="4" width="17.7109375" bestFit="1" customWidth="1"/>
  </cols>
  <sheetData>
    <row r="1" spans="1:7" x14ac:dyDescent="0.25">
      <c r="A1" s="13" t="s">
        <v>2447</v>
      </c>
      <c r="B1" s="13"/>
      <c r="C1" s="13"/>
    </row>
    <row r="3" spans="1:7" x14ac:dyDescent="0.25">
      <c r="A3" s="2" t="s">
        <v>53</v>
      </c>
      <c r="B3" t="s">
        <v>2436</v>
      </c>
      <c r="C3" t="s">
        <v>2435</v>
      </c>
    </row>
    <row r="4" spans="1:7" x14ac:dyDescent="0.25">
      <c r="A4" s="3" t="s">
        <v>81</v>
      </c>
      <c r="B4" s="6">
        <v>9.4786729857819899E-2</v>
      </c>
      <c r="C4" s="6"/>
    </row>
    <row r="5" spans="1:7" x14ac:dyDescent="0.25">
      <c r="A5" s="3" t="s">
        <v>178</v>
      </c>
      <c r="B5" s="6">
        <v>0.10559006211180125</v>
      </c>
      <c r="C5" s="6"/>
    </row>
    <row r="6" spans="1:7" x14ac:dyDescent="0.25">
      <c r="A6" s="3" t="s">
        <v>64</v>
      </c>
      <c r="B6" s="6">
        <v>5.9523809523809521E-2</v>
      </c>
      <c r="C6" s="6">
        <v>0.125</v>
      </c>
    </row>
    <row r="7" spans="1:7" x14ac:dyDescent="0.25">
      <c r="A7" s="3" t="s">
        <v>114</v>
      </c>
      <c r="B7" s="6">
        <v>2.4630541871921183E-2</v>
      </c>
      <c r="C7" s="6">
        <v>0.1111111111111111</v>
      </c>
      <c r="G7" t="s">
        <v>2430</v>
      </c>
    </row>
    <row r="8" spans="1:7" x14ac:dyDescent="0.25">
      <c r="A8" s="3" t="s">
        <v>75</v>
      </c>
      <c r="B8" s="6">
        <v>8.771929824561403E-2</v>
      </c>
      <c r="C8" s="6">
        <v>7.6923076923076927E-2</v>
      </c>
    </row>
    <row r="9" spans="1:7" x14ac:dyDescent="0.25">
      <c r="A9" s="3" t="s">
        <v>91</v>
      </c>
      <c r="B9" s="6">
        <v>4.7808764940239043E-2</v>
      </c>
      <c r="C9" s="6"/>
    </row>
    <row r="10" spans="1:7" x14ac:dyDescent="0.25">
      <c r="A10" s="3" t="s">
        <v>97</v>
      </c>
      <c r="B10" s="6">
        <v>0.11936339522546419</v>
      </c>
      <c r="C10" s="6"/>
    </row>
    <row r="11" spans="1:7" x14ac:dyDescent="0.25">
      <c r="A11" s="3" t="s">
        <v>2429</v>
      </c>
      <c r="B11" s="6">
        <v>8.0133555926544239E-2</v>
      </c>
      <c r="C11" s="6">
        <v>0.05</v>
      </c>
    </row>
  </sheetData>
  <mergeCells count="1">
    <mergeCell ref="A1:C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F47A7-3A2E-4FE3-BB3C-108F77D48E38}">
  <dimension ref="A3:F11"/>
  <sheetViews>
    <sheetView workbookViewId="0">
      <selection activeCell="C3" sqref="C3"/>
    </sheetView>
  </sheetViews>
  <sheetFormatPr defaultRowHeight="15" x14ac:dyDescent="0.25"/>
  <cols>
    <col min="1" max="1" width="16.85546875" bestFit="1" customWidth="1"/>
    <col min="2" max="2" width="17" bestFit="1" customWidth="1"/>
    <col min="3" max="3" width="15.5703125" bestFit="1" customWidth="1"/>
    <col min="4" max="4" width="18" bestFit="1" customWidth="1"/>
    <col min="5" max="5" width="18.5703125" bestFit="1" customWidth="1"/>
    <col min="6" max="6" width="27.85546875" bestFit="1" customWidth="1"/>
  </cols>
  <sheetData>
    <row r="3" spans="1:6" x14ac:dyDescent="0.25">
      <c r="A3" s="2" t="s">
        <v>2450</v>
      </c>
      <c r="B3" t="s">
        <v>2451</v>
      </c>
      <c r="C3" t="s">
        <v>2432</v>
      </c>
      <c r="D3" t="s">
        <v>2431</v>
      </c>
      <c r="E3" t="s">
        <v>2433</v>
      </c>
      <c r="F3" t="s">
        <v>2452</v>
      </c>
    </row>
    <row r="4" spans="1:6" x14ac:dyDescent="0.25">
      <c r="A4" s="3" t="s">
        <v>81</v>
      </c>
      <c r="B4" s="17">
        <v>3.1111111111111112</v>
      </c>
      <c r="C4" s="17">
        <v>2.9444444444444446</v>
      </c>
      <c r="D4" s="17">
        <v>2.7222222222222223</v>
      </c>
      <c r="E4" s="17">
        <v>2.7222222222222223</v>
      </c>
      <c r="F4" s="17">
        <v>2.875</v>
      </c>
    </row>
    <row r="5" spans="1:6" x14ac:dyDescent="0.25">
      <c r="A5" s="3" t="s">
        <v>178</v>
      </c>
      <c r="B5" s="17">
        <v>2.8</v>
      </c>
      <c r="C5" s="17">
        <v>3.0666666666666669</v>
      </c>
      <c r="D5" s="17">
        <v>3.0666666666666669</v>
      </c>
      <c r="E5" s="17">
        <v>2.6666666666666665</v>
      </c>
      <c r="F5" s="17">
        <v>2.9</v>
      </c>
    </row>
    <row r="6" spans="1:6" x14ac:dyDescent="0.25">
      <c r="A6" s="3" t="s">
        <v>64</v>
      </c>
      <c r="B6" s="17">
        <v>2.7916666666666665</v>
      </c>
      <c r="C6" s="17">
        <v>2.8333333333333335</v>
      </c>
      <c r="D6" s="17">
        <v>2.5833333333333335</v>
      </c>
      <c r="E6" s="17">
        <v>2.3333333333333335</v>
      </c>
      <c r="F6" s="17">
        <v>2.6354166666666665</v>
      </c>
    </row>
    <row r="7" spans="1:6" x14ac:dyDescent="0.25">
      <c r="A7" s="3" t="s">
        <v>114</v>
      </c>
      <c r="B7" s="17">
        <v>2.7037037037037037</v>
      </c>
      <c r="C7" s="17">
        <v>3.0370370370370372</v>
      </c>
      <c r="D7" s="17">
        <v>2.2222222222222223</v>
      </c>
      <c r="E7" s="17">
        <v>2.7407407407407409</v>
      </c>
      <c r="F7" s="17">
        <v>2.675925925925926</v>
      </c>
    </row>
    <row r="8" spans="1:6" x14ac:dyDescent="0.25">
      <c r="A8" s="3" t="s">
        <v>75</v>
      </c>
      <c r="B8" s="17">
        <v>2.3333333333333335</v>
      </c>
      <c r="C8" s="17">
        <v>2.7692307692307692</v>
      </c>
      <c r="D8" s="17">
        <v>2.4615384615384617</v>
      </c>
      <c r="E8" s="17">
        <v>2.1794871794871793</v>
      </c>
      <c r="F8" s="17">
        <v>2.4358974358974357</v>
      </c>
    </row>
    <row r="9" spans="1:6" x14ac:dyDescent="0.25">
      <c r="A9" s="3" t="s">
        <v>91</v>
      </c>
      <c r="B9" s="17">
        <v>2.8571428571428572</v>
      </c>
      <c r="C9" s="17">
        <v>3.1428571428571428</v>
      </c>
      <c r="D9" s="17">
        <v>2.6666666666666665</v>
      </c>
      <c r="E9" s="17">
        <v>2.5714285714285716</v>
      </c>
      <c r="F9" s="17">
        <v>2.8095238095238093</v>
      </c>
    </row>
    <row r="10" spans="1:6" x14ac:dyDescent="0.25">
      <c r="A10" s="3" t="s">
        <v>97</v>
      </c>
      <c r="B10" s="17">
        <v>2.5833333333333335</v>
      </c>
      <c r="C10" s="17">
        <v>2.8055555555555554</v>
      </c>
      <c r="D10" s="17">
        <v>2.5277777777777777</v>
      </c>
      <c r="E10" s="17">
        <v>2.6666666666666665</v>
      </c>
      <c r="F10" s="17">
        <v>2.6458333333333335</v>
      </c>
    </row>
    <row r="11" spans="1:6" x14ac:dyDescent="0.25">
      <c r="A11" s="3" t="s">
        <v>2429</v>
      </c>
      <c r="B11" s="17">
        <v>2.6777777777777776</v>
      </c>
      <c r="C11" s="17">
        <v>2.911111111111111</v>
      </c>
      <c r="D11" s="17">
        <v>2.5555555555555554</v>
      </c>
      <c r="E11" s="17">
        <v>2.5222222222222221</v>
      </c>
      <c r="F11" s="17">
        <v>2.6666666666666665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1:C11"/>
  <sheetViews>
    <sheetView workbookViewId="0">
      <selection activeCell="F14" sqref="F14"/>
    </sheetView>
  </sheetViews>
  <sheetFormatPr defaultRowHeight="15" x14ac:dyDescent="0.25"/>
  <cols>
    <col min="1" max="1" width="16.85546875" bestFit="1" customWidth="1"/>
    <col min="2" max="2" width="26.7109375" bestFit="1" customWidth="1"/>
    <col min="3" max="3" width="22.140625" bestFit="1" customWidth="1"/>
  </cols>
  <sheetData>
    <row r="1" spans="1:3" x14ac:dyDescent="0.25">
      <c r="A1" s="13" t="s">
        <v>2448</v>
      </c>
      <c r="B1" s="13"/>
      <c r="C1" s="13"/>
    </row>
    <row r="3" spans="1:3" x14ac:dyDescent="0.25">
      <c r="A3" s="2" t="s">
        <v>53</v>
      </c>
      <c r="B3" t="s">
        <v>2438</v>
      </c>
      <c r="C3" t="s">
        <v>2437</v>
      </c>
    </row>
    <row r="4" spans="1:3" x14ac:dyDescent="0.25">
      <c r="A4" s="3" t="s">
        <v>81</v>
      </c>
      <c r="B4" s="4">
        <v>3.8333333333333335</v>
      </c>
      <c r="C4" s="4">
        <v>3.5363507109004737</v>
      </c>
    </row>
    <row r="5" spans="1:3" x14ac:dyDescent="0.25">
      <c r="A5" s="3" t="s">
        <v>178</v>
      </c>
      <c r="B5" s="4">
        <v>3.9333333333333331</v>
      </c>
      <c r="C5" s="4">
        <v>3.8959627329192545</v>
      </c>
    </row>
    <row r="6" spans="1:3" x14ac:dyDescent="0.25">
      <c r="A6" s="3" t="s">
        <v>64</v>
      </c>
      <c r="B6" s="4">
        <v>3.7916666666666665</v>
      </c>
      <c r="C6" s="4">
        <v>4.9503968253968251</v>
      </c>
    </row>
    <row r="7" spans="1:3" x14ac:dyDescent="0.25">
      <c r="A7" s="3" t="s">
        <v>114</v>
      </c>
      <c r="B7" s="4">
        <v>3.5925925925925926</v>
      </c>
      <c r="C7" s="4">
        <v>4.8202463054187188</v>
      </c>
    </row>
    <row r="8" spans="1:3" x14ac:dyDescent="0.25">
      <c r="A8" s="3" t="s">
        <v>75</v>
      </c>
      <c r="B8" s="4">
        <v>3.5641025641025643</v>
      </c>
      <c r="C8" s="4">
        <v>5.3426023391812869</v>
      </c>
    </row>
    <row r="9" spans="1:3" x14ac:dyDescent="0.25">
      <c r="A9" s="3" t="s">
        <v>91</v>
      </c>
      <c r="B9" s="4">
        <v>3.8095238095238093</v>
      </c>
      <c r="C9" s="4">
        <v>5.3366533864541834</v>
      </c>
    </row>
    <row r="10" spans="1:3" x14ac:dyDescent="0.25">
      <c r="A10" s="3" t="s">
        <v>97</v>
      </c>
      <c r="B10" s="4">
        <v>3.6388888888888888</v>
      </c>
      <c r="C10" s="4">
        <v>4.5055437665782492</v>
      </c>
    </row>
    <row r="11" spans="1:3" x14ac:dyDescent="0.25">
      <c r="A11" s="3" t="s">
        <v>2429</v>
      </c>
      <c r="B11" s="4">
        <v>3.7</v>
      </c>
      <c r="C11" s="4">
        <v>4.71045631608236</v>
      </c>
    </row>
  </sheetData>
  <mergeCells count="1">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1:E8"/>
  <sheetViews>
    <sheetView workbookViewId="0">
      <selection activeCell="D8" sqref="D8"/>
    </sheetView>
  </sheetViews>
  <sheetFormatPr defaultRowHeight="15" x14ac:dyDescent="0.25"/>
  <cols>
    <col min="1" max="1" width="18.140625" bestFit="1" customWidth="1"/>
    <col min="2" max="2" width="13.140625" bestFit="1" customWidth="1"/>
    <col min="3" max="3" width="14" bestFit="1" customWidth="1"/>
    <col min="4" max="4" width="20.140625" bestFit="1" customWidth="1"/>
    <col min="5" max="5" width="22.5703125" bestFit="1" customWidth="1"/>
  </cols>
  <sheetData>
    <row r="1" spans="1:5" ht="18.75" x14ac:dyDescent="0.3">
      <c r="A1" s="14" t="s">
        <v>2449</v>
      </c>
      <c r="B1" s="15"/>
      <c r="C1" s="15"/>
      <c r="D1" s="15"/>
      <c r="E1" s="15"/>
    </row>
    <row r="3" spans="1:5" x14ac:dyDescent="0.25">
      <c r="A3" s="7" t="s">
        <v>2439</v>
      </c>
      <c r="B3" s="8" t="s">
        <v>2441</v>
      </c>
      <c r="C3" s="8" t="s">
        <v>2442</v>
      </c>
      <c r="D3" s="8" t="s">
        <v>2443</v>
      </c>
      <c r="E3" s="8" t="s">
        <v>2440</v>
      </c>
    </row>
    <row r="4" spans="1:5" x14ac:dyDescent="0.25">
      <c r="A4" s="18">
        <v>57</v>
      </c>
      <c r="B4" s="9">
        <v>0.05</v>
      </c>
      <c r="C4" s="9">
        <v>8.0133555926544239E-2</v>
      </c>
      <c r="D4" s="10">
        <v>2.6666666666666661</v>
      </c>
      <c r="E4" s="18">
        <v>3.6999999999999962</v>
      </c>
    </row>
    <row r="8" spans="1:5" ht="15.75" customHeight="1" x14ac:dyDescent="0.25"/>
  </sheetData>
  <mergeCells count="1">
    <mergeCell ref="A1:E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tabSelected="1" topLeftCell="A5" zoomScaleNormal="100" workbookViewId="0">
      <selection activeCell="AA11" sqref="AA11"/>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11" t="s">
        <v>2444</v>
      </c>
      <c r="B1" s="11"/>
      <c r="C1" s="11"/>
      <c r="D1" s="11"/>
      <c r="E1" s="11"/>
      <c r="F1" s="11"/>
      <c r="G1" s="11"/>
      <c r="H1" s="11"/>
      <c r="I1" s="11"/>
      <c r="J1" s="11"/>
      <c r="K1" s="11"/>
      <c r="L1" s="11"/>
      <c r="M1" s="11"/>
      <c r="N1" s="11"/>
      <c r="O1" s="11"/>
      <c r="P1" s="11"/>
      <c r="Q1" s="11"/>
      <c r="R1" s="11"/>
      <c r="S1" s="11"/>
      <c r="T1" s="11"/>
      <c r="U1" s="11"/>
    </row>
    <row r="2" spans="1:21" x14ac:dyDescent="0.25">
      <c r="A2" s="11"/>
      <c r="B2" s="11"/>
      <c r="C2" s="11"/>
      <c r="D2" s="11"/>
      <c r="E2" s="11"/>
      <c r="F2" s="11"/>
      <c r="G2" s="11"/>
      <c r="H2" s="11"/>
      <c r="I2" s="11"/>
      <c r="J2" s="11"/>
      <c r="K2" s="11"/>
      <c r="L2" s="11"/>
      <c r="M2" s="11"/>
      <c r="N2" s="11"/>
      <c r="O2" s="11"/>
      <c r="P2" s="11"/>
      <c r="Q2" s="11"/>
      <c r="R2" s="11"/>
      <c r="S2" s="11"/>
      <c r="T2" s="11"/>
      <c r="U2" s="11"/>
    </row>
    <row r="10" spans="1:21" ht="15" customHeight="1" x14ac:dyDescent="0.25"/>
  </sheetData>
  <mergeCells count="1">
    <mergeCell ref="A1:U2"/>
  </mergeCells>
  <pageMargins left="0.7" right="0.7" top="0.75" bottom="0.75" header="0.3" footer="0.3"/>
  <pageSetup scale="45" fitToWidth="0" fitToHeight="0"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91A78DD9-E54A-4DBA-9A5B-308593072B12}">
  <ds:schemaRefs/>
</ds:datastoreItem>
</file>

<file path=customXml/itemProps2.xml><?xml version="1.0" encoding="utf-8"?>
<ds:datastoreItem xmlns:ds="http://schemas.openxmlformats.org/officeDocument/2006/customXml" ds:itemID="{34B267DE-D14D-4FA3-8E4C-44541E02DC1A}">
  <ds:schemaRefs/>
</ds:datastoreItem>
</file>

<file path=customXml/itemProps3.xml><?xml version="1.0" encoding="utf-8"?>
<ds:datastoreItem xmlns:ds="http://schemas.openxmlformats.org/officeDocument/2006/customXml" ds:itemID="{D1B3F47A-BEF4-47DE-9722-76CD33DB0317}">
  <ds:schemaRefs/>
</ds:datastoreItem>
</file>

<file path=customXml/itemProps4.xml><?xml version="1.0" encoding="utf-8"?>
<ds:datastoreItem xmlns:ds="http://schemas.openxmlformats.org/officeDocument/2006/customXml" ds:itemID="{685F643A-0231-47EF-BC12-C0E49FDAE84B}">
  <ds:schemaRefs/>
</ds:datastoreItem>
</file>

<file path=customXml/itemProps5.xml><?xml version="1.0" encoding="utf-8"?>
<ds:datastoreItem xmlns:ds="http://schemas.openxmlformats.org/officeDocument/2006/customXml" ds:itemID="{E64802F4-BA84-4E2B-980F-547E62FE7005}">
  <ds:schemaRefs/>
</ds:datastoreItem>
</file>

<file path=customXml/itemProps6.xml><?xml version="1.0" encoding="utf-8"?>
<ds:datastoreItem xmlns:ds="http://schemas.openxmlformats.org/officeDocument/2006/customXml" ds:itemID="{833B9B79-CF41-44A2-8D2E-76FB9FCC4053}">
  <ds:schemaRefs/>
</ds:datastoreItem>
</file>

<file path=customXml/itemProps7.xml><?xml version="1.0" encoding="utf-8"?>
<ds:datastoreItem xmlns:ds="http://schemas.openxmlformats.org/officeDocument/2006/customXml" ds:itemID="{82C8EEB2-E62D-4744-BCA0-EF7F399BEAA1}">
  <ds:schemaRefs/>
</ds:datastoreItem>
</file>

<file path=customXml/itemProps8.xml><?xml version="1.0" encoding="utf-8"?>
<ds:datastoreItem xmlns:ds="http://schemas.openxmlformats.org/officeDocument/2006/customXml" ds:itemID="{E2EC649D-AE0C-49F7-8D09-239F1189AA1A}">
  <ds:schemaRefs/>
</ds:datastoreItem>
</file>

<file path=customXml/itemProps9.xml><?xml version="1.0" encoding="utf-8"?>
<ds:datastoreItem xmlns:ds="http://schemas.openxmlformats.org/officeDocument/2006/customXml" ds:itemID="{55EB4C03-47C2-49CB-8E7C-730226FBEAEE}">
  <ds:schemaRefs/>
</ds:datastoreItem>
</file>

<file path=customXml/itemProps10.xml><?xml version="1.0" encoding="utf-8"?>
<ds:datastoreItem xmlns:ds="http://schemas.openxmlformats.org/officeDocument/2006/customXml" ds:itemID="{9ED77C92-DDD5-4836-8FFA-1414AA5C6957}">
  <ds:schemaRefs/>
</ds:datastoreItem>
</file>

<file path=customXml/itemProps11.xml><?xml version="1.0" encoding="utf-8"?>
<ds:datastoreItem xmlns:ds="http://schemas.openxmlformats.org/officeDocument/2006/customXml" ds:itemID="{43CA710D-2EE9-4D54-AF97-23AE7426FEEF}">
  <ds:schemaRefs/>
</ds:datastoreItem>
</file>

<file path=customXml/itemProps12.xml><?xml version="1.0" encoding="utf-8"?>
<ds:datastoreItem xmlns:ds="http://schemas.openxmlformats.org/officeDocument/2006/customXml" ds:itemID="{0683521F-9CBA-436F-A391-E9E3B4300C05}">
  <ds:schemaRefs/>
</ds:datastoreItem>
</file>

<file path=customXml/itemProps13.xml><?xml version="1.0" encoding="utf-8"?>
<ds:datastoreItem xmlns:ds="http://schemas.openxmlformats.org/officeDocument/2006/customXml" ds:itemID="{A4A14009-CA79-4E89-8BF8-E3692AF225C4}">
  <ds:schemaRefs/>
</ds:datastoreItem>
</file>

<file path=customXml/itemProps14.xml><?xml version="1.0" encoding="utf-8"?>
<ds:datastoreItem xmlns:ds="http://schemas.openxmlformats.org/officeDocument/2006/customXml" ds:itemID="{C23CF911-118B-42C3-A997-9B8E43612563}">
  <ds:schemaRefs/>
</ds:datastoreItem>
</file>

<file path=customXml/itemProps15.xml><?xml version="1.0" encoding="utf-8"?>
<ds:datastoreItem xmlns:ds="http://schemas.openxmlformats.org/officeDocument/2006/customXml" ds:itemID="{DE4574EE-B164-4F6F-B2BF-7FFB1B147A8F}">
  <ds:schemaRefs/>
</ds:datastoreItem>
</file>

<file path=customXml/itemProps16.xml><?xml version="1.0" encoding="utf-8"?>
<ds:datastoreItem xmlns:ds="http://schemas.openxmlformats.org/officeDocument/2006/customXml" ds:itemID="{B01C8C6A-4219-459E-A5DA-16258105C774}">
  <ds:schemaRefs/>
</ds:datastoreItem>
</file>

<file path=customXml/itemProps17.xml><?xml version="1.0" encoding="utf-8"?>
<ds:datastoreItem xmlns:ds="http://schemas.openxmlformats.org/officeDocument/2006/customXml" ds:itemID="{32041F71-A6F0-44F2-AD3A-B090A9B5550A}">
  <ds:schemaRefs/>
</ds:datastoreItem>
</file>

<file path=customXml/itemProps18.xml><?xml version="1.0" encoding="utf-8"?>
<ds:datastoreItem xmlns:ds="http://schemas.openxmlformats.org/officeDocument/2006/customXml" ds:itemID="{C8CBB41C-3ABD-4B8F-BA30-144CAC0C829B}">
  <ds:schemaRefs/>
</ds:datastoreItem>
</file>

<file path=customXml/itemProps19.xml><?xml version="1.0" encoding="utf-8"?>
<ds:datastoreItem xmlns:ds="http://schemas.openxmlformats.org/officeDocument/2006/customXml" ds:itemID="{CEDDEBEE-A2B3-478D-8A09-6200732BF4FB}">
  <ds:schemaRefs/>
</ds:datastoreItem>
</file>

<file path=customXml/itemProps20.xml><?xml version="1.0" encoding="utf-8"?>
<ds:datastoreItem xmlns:ds="http://schemas.openxmlformats.org/officeDocument/2006/customXml" ds:itemID="{00633C3F-F333-4F78-9991-AD38DAED9E0E}">
  <ds:schemaRefs/>
</ds:datastoreItem>
</file>

<file path=customXml/itemProps21.xml><?xml version="1.0" encoding="utf-8"?>
<ds:datastoreItem xmlns:ds="http://schemas.openxmlformats.org/officeDocument/2006/customXml" ds:itemID="{9EE84D98-64CA-4517-863C-A932AE31BC6F}">
  <ds:schemaRefs/>
</ds:datastoreItem>
</file>

<file path=customXml/itemProps22.xml><?xml version="1.0" encoding="utf-8"?>
<ds:datastoreItem xmlns:ds="http://schemas.openxmlformats.org/officeDocument/2006/customXml" ds:itemID="{DD3EB15F-1600-4915-ADAE-2D899563A377}">
  <ds:schemaRefs/>
</ds:datastoreItem>
</file>

<file path=customXml/itemProps23.xml><?xml version="1.0" encoding="utf-8"?>
<ds:datastoreItem xmlns:ds="http://schemas.openxmlformats.org/officeDocument/2006/customXml" ds:itemID="{9296BEE2-B6BF-4BE0-BBB2-D5A6DEE19240}">
  <ds:schemaRefs/>
</ds:datastoreItem>
</file>

<file path=customXml/itemProps24.xml><?xml version="1.0" encoding="utf-8"?>
<ds:datastoreItem xmlns:ds="http://schemas.openxmlformats.org/officeDocument/2006/customXml" ds:itemID="{25375470-AACD-4173-8789-C87ABCC535DC}">
  <ds:schemaRefs/>
</ds:datastoreItem>
</file>

<file path=customXml/itemProps25.xml><?xml version="1.0" encoding="utf-8"?>
<ds:datastoreItem xmlns:ds="http://schemas.openxmlformats.org/officeDocument/2006/customXml" ds:itemID="{3574CDD7-F0C8-4B6D-B7DF-555BC28F964A}">
  <ds:schemaRefs/>
</ds:datastoreItem>
</file>

<file path=customXml/itemProps26.xml><?xml version="1.0" encoding="utf-8"?>
<ds:datastoreItem xmlns:ds="http://schemas.openxmlformats.org/officeDocument/2006/customXml" ds:itemID="{0A0BE165-7EC2-4A99-A836-B91E32B8A8FC}">
  <ds:schemaRefs/>
</ds:datastoreItem>
</file>

<file path=customXml/itemProps27.xml><?xml version="1.0" encoding="utf-8"?>
<ds:datastoreItem xmlns:ds="http://schemas.openxmlformats.org/officeDocument/2006/customXml" ds:itemID="{15897152-5877-4429-9BF5-635043264F96}">
  <ds:schemaRefs/>
</ds:datastoreItem>
</file>

<file path=customXml/itemProps28.xml><?xml version="1.0" encoding="utf-8"?>
<ds:datastoreItem xmlns:ds="http://schemas.openxmlformats.org/officeDocument/2006/customXml" ds:itemID="{3C2423B7-1326-47AA-B5FB-0F10BF01C18B}">
  <ds:schemaRefs/>
</ds:datastoreItem>
</file>

<file path=customXml/itemProps29.xml><?xml version="1.0" encoding="utf-8"?>
<ds:datastoreItem xmlns:ds="http://schemas.openxmlformats.org/officeDocument/2006/customXml" ds:itemID="{192AEB48-84C2-4D39-A1AE-AD30440A81A1}">
  <ds:schemaRefs/>
</ds:datastoreItem>
</file>

<file path=customXml/itemProps30.xml><?xml version="1.0" encoding="utf-8"?>
<ds:datastoreItem xmlns:ds="http://schemas.openxmlformats.org/officeDocument/2006/customXml" ds:itemID="{1B67E642-8D3F-47FE-88BA-B07462E5C9A7}">
  <ds:schemaRefs/>
</ds:datastoreItem>
</file>

<file path=customXml/itemProps31.xml><?xml version="1.0" encoding="utf-8"?>
<ds:datastoreItem xmlns:ds="http://schemas.openxmlformats.org/officeDocument/2006/customXml" ds:itemID="{31162E4D-DB71-4B24-AB80-C011289427D8}">
  <ds:schemaRefs>
    <ds:schemaRef ds:uri="http://schemas.microsoft.com/DataMashup"/>
  </ds:schemaRefs>
</ds:datastoreItem>
</file>

<file path=customXml/itemProps32.xml><?xml version="1.0" encoding="utf-8"?>
<ds:datastoreItem xmlns:ds="http://schemas.openxmlformats.org/officeDocument/2006/customXml" ds:itemID="{31E38666-B2B1-4C54-94C0-EE4E262AECAE}">
  <ds:schemaRefs/>
</ds:datastoreItem>
</file>

<file path=customXml/itemProps33.xml><?xml version="1.0" encoding="utf-8"?>
<ds:datastoreItem xmlns:ds="http://schemas.openxmlformats.org/officeDocument/2006/customXml" ds:itemID="{C5C43894-5394-4F7B-97B8-72240AE7BBC6}">
  <ds:schemaRefs/>
</ds:datastoreItem>
</file>

<file path=customXml/itemProps34.xml><?xml version="1.0" encoding="utf-8"?>
<ds:datastoreItem xmlns:ds="http://schemas.openxmlformats.org/officeDocument/2006/customXml" ds:itemID="{A25514F3-2D71-46B8-8C5A-3760C7529716}">
  <ds:schemaRefs/>
</ds:datastoreItem>
</file>

<file path=customXml/itemProps35.xml><?xml version="1.0" encoding="utf-8"?>
<ds:datastoreItem xmlns:ds="http://schemas.openxmlformats.org/officeDocument/2006/customXml" ds:itemID="{C6DAEDA1-86A6-497D-A7CC-BEFEB208E04A}">
  <ds:schemaRefs/>
</ds:datastoreItem>
</file>

<file path=customXml/itemProps36.xml><?xml version="1.0" encoding="utf-8"?>
<ds:datastoreItem xmlns:ds="http://schemas.openxmlformats.org/officeDocument/2006/customXml" ds:itemID="{595029AC-7295-4AEF-B50D-805324E7A395}">
  <ds:schemaRefs/>
</ds:datastoreItem>
</file>

<file path=customXml/itemProps37.xml><?xml version="1.0" encoding="utf-8"?>
<ds:datastoreItem xmlns:ds="http://schemas.openxmlformats.org/officeDocument/2006/customXml" ds:itemID="{E16D86EC-6E49-437F-B0FF-FFAAAC66BAEE}">
  <ds:schemaRefs/>
</ds:datastoreItem>
</file>

<file path=customXml/itemProps38.xml><?xml version="1.0" encoding="utf-8"?>
<ds:datastoreItem xmlns:ds="http://schemas.openxmlformats.org/officeDocument/2006/customXml" ds:itemID="{C51036B2-ABB9-4150-AA3D-45A518240084}">
  <ds:schemaRefs/>
</ds:datastoreItem>
</file>

<file path=customXml/itemProps39.xml><?xml version="1.0" encoding="utf-8"?>
<ds:datastoreItem xmlns:ds="http://schemas.openxmlformats.org/officeDocument/2006/customXml" ds:itemID="{AC70F371-0EF2-4F80-8700-402F4791FA99}">
  <ds:schemaRefs/>
</ds:datastoreItem>
</file>

<file path=customXml/itemProps40.xml><?xml version="1.0" encoding="utf-8"?>
<ds:datastoreItem xmlns:ds="http://schemas.openxmlformats.org/officeDocument/2006/customXml" ds:itemID="{07DBC09F-CF42-4C2E-B72E-03BCE5C88588}">
  <ds:schemaRefs/>
</ds:datastoreItem>
</file>

<file path=customXml/itemProps41.xml><?xml version="1.0" encoding="utf-8"?>
<ds:datastoreItem xmlns:ds="http://schemas.openxmlformats.org/officeDocument/2006/customXml" ds:itemID="{143279EC-55C8-4347-B8CE-7CE9B3B142A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Fact_Attrition</vt:lpstr>
      <vt:lpstr>Dim_Employee (1)</vt:lpstr>
      <vt:lpstr>Dim_Date (1)</vt:lpstr>
      <vt:lpstr>Dim_Satisfaction</vt:lpstr>
      <vt:lpstr>Dim_Performance</vt:lpstr>
      <vt:lpstr>Pivot_DepartmentAttrition_Count</vt:lpstr>
      <vt:lpstr>Pivot_Gender_Attrition_Analysis</vt:lpstr>
      <vt:lpstr>Pivot_Dept_OT_Attrition_Rate</vt:lpstr>
      <vt:lpstr>Pivot_Avg_Employee_Experience</vt:lpstr>
      <vt:lpstr>Pivot_Avg_Performance_Tenure</vt:lpstr>
      <vt:lpstr>KPIs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cp:lastPrinted>2026-06-17T14:47:53Z</cp:lastPrinted>
  <dcterms:created xsi:type="dcterms:W3CDTF">2026-06-14T13:53:19Z</dcterms:created>
  <dcterms:modified xsi:type="dcterms:W3CDTF">2026-06-18T10:59:55Z</dcterms:modified>
</cp:coreProperties>
</file>