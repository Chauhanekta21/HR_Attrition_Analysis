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59" documentId="8_{A15DF60A-01BE-453B-92F1-53F3912642DF}" xr6:coauthVersionLast="47" xr6:coauthVersionMax="47" xr10:uidLastSave="{4AAF6642-99F6-4EC0-ABCB-F67C2F9BE60A}"/>
  <bookViews>
    <workbookView xWindow="-120" yWindow="-120" windowWidth="20730" windowHeight="11040" firstSheet="8" activeTab="9"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Performance_Tenure" sheetId="13" r:id="rId9"/>
    <sheet name="Pivot_Avg_Employee_Experience" sheetId="15" r:id="rId10"/>
    <sheet name="KPIs"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224" r:id="rId13"/>
    <pivotCache cacheId="227" r:id="rId14"/>
    <pivotCache cacheId="230" r:id="rId15"/>
    <pivotCache cacheId="233" r:id="rId16"/>
    <pivotCache cacheId="236" r:id="rId17"/>
    <pivotCache cacheId="239" r:id="rId18"/>
  </pivotCaches>
  <extLst>
    <ext xmlns:x14="http://schemas.microsoft.com/office/spreadsheetml/2009/9/main" uri="{876F7934-8845-4945-9796-88D515C7AA90}">
      <x14:pivotCaches>
        <pivotCache cacheId="223"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6" i="15" l="1"/>
  <c r="F7" i="15"/>
  <c r="F8" i="15"/>
  <c r="F9" i="15"/>
  <c r="F10" i="15"/>
  <c r="F11" i="15"/>
  <c r="F12" i="15"/>
  <c r="F5"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<sst xmlns="http://schemas.openxmlformats.org/spreadsheetml/2006/main" count="12894" uniqueCount="2453">
  <si>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</si>
  <si>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</si>
  <si>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</si>
  <si>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</si>
  <si>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</si>
  <si>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</si>
  <si>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</si>
  <si>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</si>
  <si>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</si>
  <si>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</si>
  <si>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</si>
  <si>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</si>
  <si>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</si>
  <si>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</si>
  <si>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</si>
  <si>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</si>
  <si>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</si>
  <si>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</si>
  <si>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</si>
  <si>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</si>
  <si>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</si>
  <si>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</si>
  <si>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</si>
  <si>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</si>
  <si>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</si>
  <si>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</si>
  <si>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</si>
  <si>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</si>
  <si>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</si>
  <si>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</si>
  <si>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</si>
  <si>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</si>
  <si>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</si>
  <si>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</si>
  <si>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</si>
  <si>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</si>
  <si>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</si>
  <si>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</si>
  <si>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</si>
  <si>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</si>
  <si>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</si>
  <si>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</si>
  <si>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</si>
  <si>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</si>
  <si>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</si>
  <si>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</si>
  <si>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</si>
  <si>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</si>
  <si>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</si>
  <si>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</si>
  <si>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</si>
  <si>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</si>
  <si>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</si>
  <si>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</si>
  <si>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</si>
  <si>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</si>
  <si>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</si>
  <si>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</si>
  <si>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</si>
  <si>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</si>
  <si>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</si>
  <si>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</si>
  <si>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</si>
  <si>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</si>
  <si>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</si>
  <si>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</si>
  <si>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</si>
  <si>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</si>
  <si>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</si>
  <si>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</si>
  <si>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</si>
  <si>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</si>
  <si>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</si>
  <si>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</si>
  <si>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</si>
  <si>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</si>
  <si>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</si>
  <si>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</si>
  <si>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</si>
  <si>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</si>
  <si>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</si>
  <si>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</si>
  <si>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</si>
  <si>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</si>
  <si>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</si>
  <si>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</si>
  <si>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</si>
  <si>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</si>
  <si>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</si>
  <si>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</si>
  <si>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</si>
  <si>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</si>
  <si>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</si>
  <si>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</si>
  <si>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</si>
  <si>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</si>
  <si>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</si>
  <si>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</si>
  <si>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</si>
  <si>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</si>
  <si>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</si>
  <si>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</si>
  <si>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</si>
  <si>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</si>
  <si>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</si>
  <si>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</si>
  <si>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</si>
  <si>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</si>
  <si>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</si>
  <si>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</si>
  <si>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</si>
  <si>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</si>
  <si>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</si>
  <si>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</si>
  <si>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</si>
  <si>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</si>
  <si>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</si>
  <si>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</si>
  <si>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</si>
  <si>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</si>
  <si>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</si>
  <si>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</si>
  <si>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</si>
  <si>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</si>
  <si>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</si>
  <si>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</si>
  <si>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</si>
  <si>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</si>
  <si>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</si>
  <si>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</si>
  <si>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</si>
  <si>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</si>
  <si>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</si>
  <si>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</si>
  <si>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</si>
  <si>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</si>
  <si>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</si>
  <si>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</si>
  <si>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</si>
  <si>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</si>
  <si>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</si>
  <si>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</si>
  <si>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</si>
  <si>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</si>
  <si>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</si>
  <si>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</si>
  <si>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</si>
  <si>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</si>
  <si>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</si>
  <si>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</si>
  <si>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</si>
  <si>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</si>
  <si>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</si>
  <si>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</si>
  <si>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</si>
  <si>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</si>
  <si>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</si>
  <si>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</si>
  <si>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</si>
  <si>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</si>
  <si>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</si>
  <si>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</si>
  <si>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</si>
  <si>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</si>
  <si>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</si>
  <si>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</si>
  <si>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</si>
  <si>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</si>
  <si>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</si>
  <si>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</si>
  <si>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</si>
  <si>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</si>
  <si>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</si>
  <si>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</si>
  <si>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</si>
  <si>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</si>
  <si>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</si>
  <si>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</si>
  <si>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</si>
  <si>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</si>
  <si>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</si>
  <si>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</si>
  <si>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</si>
  <si>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</si>
  <si>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</si>
  <si>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</si>
  <si>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</si>
  <si>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</si>
  <si>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</si>
  <si>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</si>
  <si>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</si>
  <si>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</si>
  <si>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</si>
  <si>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</si>
  <si>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</si>
  <si>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</si>
  <si>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</si>
  <si>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</si>
  <si>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</si>
  <si>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</si>
  <si>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</si>
  <si>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</si>
  <si>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</si>
  <si>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</si>
  <si>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</si>
  <si>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</si>
  <si>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</si>
  <si>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</si>
  <si>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</si>
  <si>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</si>
  <si>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</si>
  <si>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</si>
  <si>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</si>
  <si>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</si>
  <si>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</si>
  <si>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</si>
  <si>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</si>
  <si>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</si>
  <si>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</si>
  <si>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</si>
  <si>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</si>
  <si>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</si>
  <si>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</si>
  <si>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</si>
  <si>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</si>
  <si>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</si>
  <si>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</si>
  <si>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</si>
  <si>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</si>
  <si>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</si>
  <si>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</si>
  <si>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</si>
  <si>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</si>
  <si>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</si>
  <si>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</si>
  <si>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</si>
  <si>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</si>
  <si>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</si>
  <si>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</si>
  <si>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</si>
  <si>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</si>
  <si>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</si>
  <si>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</si>
  <si>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</si>
  <si>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</si>
  <si>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</si>
  <si>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</si>
  <si>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</si>
  <si>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</si>
  <si>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</si>
  <si>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</si>
  <si>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</si>
  <si>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</si>
  <si>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</si>
  <si>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</si>
  <si>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</si>
  <si>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</si>
  <si>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</si>
  <si>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</si>
  <si>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</si>
  <si>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</si>
  <si>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</si>
  <si>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</si>
  <si>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</si>
  <si>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</si>
  <si>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</si>
  <si>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</si>
  <si>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</si>
  <si>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</si>
  <si>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</si>
  <si>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</si>
  <si>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</si>
  <si>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</si>
  <si>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</si>
  <si>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</si>
  <si>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</si>
  <si>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</si>
  <si>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</si>
  <si>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</si>
  <si>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</si>
  <si>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</si>
  <si>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</si>
  <si>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</si>
  <si>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</si>
  <si>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</si>
  <si>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</si>
  <si>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</si>
  <si>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</si>
  <si>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</si>
  <si>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</si>
  <si>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</si>
  <si>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</si>
  <si>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</si>
  <si>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</si>
  <si>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</si>
  <si>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</si>
  <si>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</si>
  <si>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</si>
  <si>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</si>
  <si>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</si>
  <si>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</si>
  <si>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</si>
  <si>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</si>
  <si>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</si>
  <si>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</si>
  <si>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</si>
  <si>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</si>
  <si>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</si>
  <si>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</si>
  <si>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</si>
  <si>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</si>
  <si>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</si>
  <si>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</si>
  <si>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</si>
  <si>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</si>
  <si>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</si>
  <si>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</si>
  <si>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</si>
  <si>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</si>
  <si>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</si>
  <si>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</si>
  <si>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</si>
  <si>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</si>
  <si>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</si>
  <si>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</si>
  <si>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</si>
  <si>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</si>
  <si>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</si>
  <si>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</si>
  <si>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</si>
  <si>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</si>
  <si>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</si>
  <si>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</si>
  <si>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</si>
  <si>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</si>
  <si>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</si>
  <si>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</si>
  <si>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</si>
  <si>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</si>
  <si>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</si>
  <si>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</si>
  <si>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</si>
  <si>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</si>
  <si>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</si>
  <si>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</si>
  <si>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</si>
  <si>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</si>
  <si>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</si>
  <si>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</si>
  <si>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</si>
  <si>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</si>
  <si>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</si>
  <si>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</si>
  <si>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</si>
  <si>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</si>
  <si>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</si>
  <si>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</si>
  <si>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</si>
  <si>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</si>
  <si>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</si>
  <si>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</si>
  <si>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</si>
  <si>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</si>
  <si>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</si>
  <si>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</si>
  <si>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</si>
  <si>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</si>
  <si>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</si>
  <si>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</si>
  <si>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</si>
  <si>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</si>
  <si>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</si>
  <si>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</si>
  <si>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</si>
  <si>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</si>
  <si>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</si>
  <si>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</si>
  <si>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</si>
  <si>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</si>
  <si>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</si>
  <si>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</si>
  <si>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</si>
  <si>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</si>
  <si>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</si>
  <si>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</si>
  <si>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</si>
  <si>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</si>
  <si>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</si>
  <si>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</si>
  <si>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</si>
  <si>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</si>
  <si>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</si>
  <si>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</si>
  <si>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</si>
  <si>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</si>
  <si>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</si>
  <si>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</si>
  <si>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</si>
  <si>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</si>
  <si>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</si>
  <si>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</si>
  <si>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</si>
  <si>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</si>
  <si>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</si>
  <si>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</si>
  <si>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</si>
  <si>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</si>
  <si>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</si>
  <si>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</si>
  <si>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</si>
  <si>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</si>
  <si>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</si>
  <si>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</si>
  <si>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</si>
  <si>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</si>
  <si>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</si>
  <si>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</si>
  <si>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</si>
  <si>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</si>
  <si>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</si>
  <si>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</si>
  <si>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</si>
  <si>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</si>
  <si>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</si>
  <si>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</si>
  <si>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</si>
  <si>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</si>
  <si>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</si>
  <si>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</si>
  <si>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</si>
  <si>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</si>
  <si>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</si>
  <si>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</si>
  <si>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</si>
  <si>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</si>
  <si>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</si>
  <si>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</si>
  <si>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</si>
  <si>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</si>
  <si>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</si>
  <si>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</si>
  <si>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</si>
  <si>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</si>
  <si>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</si>
  <si>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</si>
  <si>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</si>
  <si>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</si>
  <si>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</si>
  <si>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</si>
  <si>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</si>
  <si>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</si>
  <si>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</si>
  <si>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</si>
  <si>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</si>
  <si>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</si>
  <si>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</si>
  <si>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</si>
  <si>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</si>
  <si>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</si>
  <si>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</si>
  <si>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</si>
  <si>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</si>
  <si>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</si>
  <si>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</si>
  <si>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</si>
  <si>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</si>
  <si>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</si>
  <si>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</si>
  <si>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</si>
  <si>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</si>
  <si>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</si>
  <si>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</si>
  <si>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</si>
  <si>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</si>
  <si>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</si>
  <si>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</si>
  <si>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</si>
  <si>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</si>
  <si>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</si>
  <si>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</si>
  <si>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</si>
  <si>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</si>
  <si>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</si>
  <si>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</si>
  <si>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</si>
  <si>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</si>
  <si>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</si>
  <si>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</si>
  <si>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</si>
  <si>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</si>
  <si>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</si>
  <si>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</si>
  <si>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</si>
  <si>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</si>
  <si>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</si>
  <si>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</si>
  <si>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</si>
  <si>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</si>
  <si>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</si>
  <si>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</si>
  <si>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</si>
  <si>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</si>
  <si>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</si>
  <si>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</si>
  <si>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</si>
  <si>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</si>
  <si>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</si>
  <si>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</si>
  <si>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</si>
  <si>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</si>
  <si>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</si>
  <si>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</si>
  <si>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</si>
  <si>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</si>
  <si>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</si>
  <si>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</si>
  <si>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</si>
  <si>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</si>
  <si>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</si>
  <si>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</si>
  <si>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</si>
  <si>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</si>
  <si>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</si>
  <si>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</si>
  <si>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</si>
  <si>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</si>
  <si>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</si>
  <si>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</si>
  <si>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</si>
  <si>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</si>
  <si>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</si>
  <si>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</si>
  <si>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</si>
  <si>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</si>
  <si>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</si>
  <si>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</si>
  <si>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</si>
  <si>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</si>
  <si>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</si>
  <si>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</si>
  <si>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</si>
  <si>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</si>
  <si>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</si>
  <si>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</si>
  <si>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</si>
  <si>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</si>
  <si>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</si>
  <si>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</si>
  <si>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</si>
  <si>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</si>
  <si>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</si>
  <si>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</si>
  <si>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</si>
  <si>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</si>
  <si>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</si>
  <si>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</si>
  <si>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</si>
  <si>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</si>
  <si>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</si>
  <si>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</si>
  <si>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</si>
  <si>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</si>
  <si>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</si>
  <si>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</si>
  <si>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</si>
  <si>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</si>
  <si>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</si>
  <si>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</si>
  <si>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</si>
  <si>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</si>
  <si>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</si>
  <si>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</si>
  <si>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</si>
  <si>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</si>
  <si>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</si>
  <si>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</si>
  <si>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</si>
  <si>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</si>
  <si>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</si>
  <si>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</si>
  <si>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</si>
  <si>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</si>
  <si>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</si>
  <si>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</si>
  <si>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</si>
  <si>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</si>
  <si>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</si>
  <si>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</si>
  <si>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</si>
  <si>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</si>
  <si>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</si>
  <si>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</si>
  <si>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</si>
  <si>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</si>
  <si>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</si>
  <si>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</si>
  <si>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</si>
  <si>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</si>
  <si>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</si>
  <si>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</si>
  <si>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</si>
  <si>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</si>
  <si>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</si>
  <si>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</si>
  <si>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</si>
  <si>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</si>
  <si>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</si>
  <si>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</si>
  <si>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</si>
  <si>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</si>
  <si>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</si>
  <si>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</si>
  <si>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</si>
  <si>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</si>
  <si>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</si>
  <si>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</si>
  <si>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</si>
  <si>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</si>
  <si>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</si>
  <si>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</si>
  <si>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</si>
  <si>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</si>
  <si>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</si>
  <si>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</si>
  <si>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</si>
  <si>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</si>
  <si>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</si>
  <si>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</si>
  <si>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</si>
  <si>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</si>
  <si>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</si>
  <si>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</si>
  <si>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</si>
  <si>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</si>
  <si>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</si>
  <si>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</si>
  <si>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</si>
  <si>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</si>
  <si>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</si>
  <si>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</si>
  <si>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</si>
  <si>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</si>
  <si>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</si>
  <si>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</si>
  <si>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</si>
  <si>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</si>
  <si>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</si>
  <si>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</si>
  <si>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</si>
  <si>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</si>
  <si>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</si>
  <si>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</si>
  <si>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</si>
  <si>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</si>
  <si>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</si>
  <si>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</si>
  <si>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</si>
  <si>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</si>
  <si>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</si>
  <si>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</si>
  <si>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</si>
  <si>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</si>
  <si>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</si>
  <si>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</si>
  <si>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</si>
  <si>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</si>
  <si>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</si>
  <si>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</si>
  <si>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</si>
  <si>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</si>
  <si>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</si>
  <si>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</si>
  <si>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</si>
  <si>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</si>
  <si>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</si>
  <si>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</si>
  <si>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</si>
  <si>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</si>
  <si>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</si>
  <si>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</si>
  <si>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</si>
  <si>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</si>
  <si>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</si>
  <si>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</si>
  <si>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</si>
  <si>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</si>
  <si>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</si>
  <si>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</si>
  <si>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</si>
  <si>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</si>
  <si>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</si>
  <si>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</si>
  <si>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</si>
  <si>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</si>
  <si>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</si>
  <si>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</si>
  <si>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</si>
  <si>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</si>
  <si>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</si>
  <si>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</si>
  <si>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</si>
  <si>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</si>
  <si>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</si>
  <si>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</si>
  <si>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</si>
  <si>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</si>
  <si>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</si>
  <si>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</si>
  <si>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</si>
  <si>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</si>
  <si>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</si>
  <si>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</si>
  <si>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</si>
  <si>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</si>
  <si>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</si>
  <si>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</si>
  <si>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</si>
  <si>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</si>
  <si>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</si>
  <si>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</si>
  <si>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</si>
  <si>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</si>
  <si>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</si>
  <si>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</si>
  <si>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</si>
  <si>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</si>
  <si>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</si>
  <si>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</si>
  <si>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</si>
  <si>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</si>
  <si>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</si>
  <si>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</si>
  <si>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</si>
  <si>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</si>
  <si>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</si>
  <si>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</si>
  <si>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</si>
  <si>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</si>
  <si>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</si>
  <si>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</si>
  <si>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</si>
  <si>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</si>
  <si>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</si>
  <si>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</si>
  <si>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</si>
  <si>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</si>
  <si>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</si>
  <si>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</si>
  <si>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</si>
  <si>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</si>
  <si>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</si>
  <si>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</si>
  <si>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</si>
  <si>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</si>
  <si>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</si>
  <si>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</si>
  <si>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</si>
  <si>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</si>
  <si>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</si>
  <si>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</si>
  <si>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</si>
  <si>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</si>
  <si>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</si>
  <si>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</si>
  <si>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</si>
  <si>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</si>
  <si>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</si>
  <si>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</si>
  <si>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</si>
  <si>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</si>
  <si>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</si>
  <si>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</si>
  <si>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</si>
  <si>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</si>
  <si>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</si>
  <si>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</si>
  <si>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</si>
  <si>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</si>
  <si>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</si>
  <si>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</si>
  <si>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</si>
  <si>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</si>
  <si>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</si>
  <si>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</si>
  <si>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</si>
  <si>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</si>
  <si>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</si>
  <si>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</si>
  <si>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</si>
  <si>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</si>
  <si>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</si>
  <si>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</si>
  <si>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</si>
  <si>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</si>
  <si>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</si>
  <si>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</si>
  <si>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</si>
  <si>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</si>
  <si>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</si>
  <si>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</si>
  <si>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</si>
  <si>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</si>
  <si>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</si>
  <si>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</si>
  <si>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</si>
  <si>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</si>
  <si>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</si>
  <si>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</si>
  <si>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</si>
  <si>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</si>
  <si>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</si>
  <si>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</si>
  <si>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</si>
  <si>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</si>
  <si>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</si>
  <si>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</si>
  <si>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</si>
  <si>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</si>
  <si>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</si>
  <si>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</si>
  <si>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</si>
  <si>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</si>
  <si>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</si>
  <si>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</si>
  <si>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</si>
  <si>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</si>
  <si>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</si>
  <si>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</si>
  <si>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</si>
  <si>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</si>
  <si>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</si>
  <si>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</si>
  <si>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</si>
  <si>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</si>
  <si>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</si>
  <si>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</si>
  <si>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</si>
  <si>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</si>
  <si>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</si>
  <si>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</si>
  <si>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</si>
  <si>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</si>
  <si>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</si>
  <si>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</si>
  <si>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</si>
  <si>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</si>
  <si>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</si>
  <si>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</si>
  <si>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</si>
  <si>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</si>
  <si>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</si>
  <si>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</si>
  <si>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</si>
  <si>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</si>
  <si>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</si>
  <si>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</si>
  <si>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</si>
  <si>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</si>
  <si>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</si>
  <si>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</si>
  <si>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</si>
  <si>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</si>
  <si>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</si>
  <si>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</si>
  <si>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</si>
  <si>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</si>
  <si>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</si>
  <si>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</si>
  <si>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</si>
  <si>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</si>
  <si>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</si>
  <si>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</si>
  <si>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</si>
  <si>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</si>
  <si>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</si>
  <si>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</si>
  <si>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</si>
  <si>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</si>
  <si>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</si>
  <si>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</si>
  <si>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</si>
  <si>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</si>
  <si>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</si>
  <si>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</si>
  <si>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</si>
  <si>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</si>
  <si>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</si>
  <si>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</si>
  <si>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</si>
  <si>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</si>
  <si>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</si>
  <si>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</si>
  <si>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</si>
  <si>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</si>
  <si>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</si>
  <si>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</si>
  <si>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</si>
  <si>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</si>
  <si>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</si>
  <si>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</si>
  <si>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</si>
  <si>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</si>
  <si>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</si>
  <si>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</si>
  <si>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</si>
  <si>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</si>
  <si>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</si>
  <si>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</si>
  <si>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</si>
  <si>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</si>
  <si>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</si>
  <si>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</si>
  <si>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</si>
  <si>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</si>
  <si>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</si>
  <si>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</si>
  <si>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</si>
  <si>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</si>
  <si>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</si>
  <si>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</si>
  <si>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</si>
  <si>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</si>
  <si>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</si>
  <si>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</si>
  <si>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</si>
  <si>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</si>
  <si>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</si>
  <si>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</si>
  <si>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</si>
  <si>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</si>
  <si>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</si>
  <si>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</si>
  <si>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</si>
  <si>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</si>
  <si>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</si>
  <si>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</si>
  <si>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</si>
  <si>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</si>
  <si>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</si>
  <si>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</si>
  <si>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</si>
  <si>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</si>
  <si>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</si>
  <si>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</si>
  <si>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</si>
  <si>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</si>
  <si>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</si>
  <si>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</si>
  <si>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</si>
  <si>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</si>
  <si>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</si>
  <si>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</si>
  <si>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</si>
  <si>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</si>
  <si>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</si>
  <si>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</si>
  <si>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</si>
  <si>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</si>
  <si>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</si>
  <si>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</si>
  <si>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</si>
  <si>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</si>
  <si>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</si>
  <si>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</si>
  <si>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</si>
  <si>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</si>
  <si>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</si>
  <si>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</si>
  <si>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</si>
  <si>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</si>
  <si>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</si>
  <si>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</si>
  <si>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</si>
  <si>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</si>
  <si>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</si>
  <si>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</si>
  <si>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</si>
  <si>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</si>
  <si>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</si>
  <si>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</si>
  <si>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</si>
  <si>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</si>
  <si>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</si>
  <si>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</si>
  <si>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</si>
  <si>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</si>
  <si>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</si>
  <si>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</si>
  <si>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</si>
  <si>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</si>
  <si>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</si>
  <si>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</si>
  <si>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</si>
  <si>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</si>
  <si>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</si>
  <si>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</si>
  <si>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</si>
  <si>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</si>
  <si>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</si>
  <si>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</si>
  <si>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</si>
  <si>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</si>
  <si>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</si>
  <si>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</si>
  <si>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</si>
  <si>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</si>
  <si>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</si>
  <si>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</si>
  <si>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</si>
  <si>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</si>
  <si>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</si>
  <si>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</si>
  <si>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</si>
  <si>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</si>
  <si>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</si>
  <si>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</si>
  <si>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</si>
  <si>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</si>
  <si>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</si>
  <si>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</si>
  <si>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</si>
  <si>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</si>
  <si>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</si>
  <si>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</si>
  <si>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</si>
  <si>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</si>
  <si>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</si>
  <si>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</si>
  <si>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</si>
  <si>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</si>
  <si>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</si>
  <si>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</si>
  <si>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</si>
  <si>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</si>
  <si>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</si>
  <si>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</si>
  <si>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</si>
  <si>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</si>
  <si>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</si>
  <si>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</si>
  <si>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</si>
  <si>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</si>
  <si>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</si>
  <si>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</si>
  <si>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</si>
  <si>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</si>
  <si>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</si>
  <si>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</si>
  <si>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</si>
  <si>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</si>
  <si>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</si>
  <si>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</si>
  <si>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</si>
  <si>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</si>
  <si>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</si>
  <si>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</si>
  <si>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</si>
  <si>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</si>
  <si>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</si>
  <si>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</si>
  <si>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</si>
  <si>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</si>
  <si>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</si>
  <si>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</si>
  <si>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</si>
  <si>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</si>
  <si>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</si>
  <si>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</si>
  <si>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</si>
  <si>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</si>
  <si>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</si>
  <si>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</si>
  <si>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</si>
  <si>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</si>
  <si>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</si>
  <si>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</si>
  <si>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</si>
  <si>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</si>
  <si>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</si>
  <si>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</si>
  <si>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</si>
  <si>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</si>
  <si>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</si>
  <si>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</si>
  <si>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</si>
  <si>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</si>
  <si>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</si>
  <si>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</si>
  <si>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</si>
  <si>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</si>
  <si>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</si>
  <si>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</si>
  <si>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</si>
  <si>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</si>
  <si>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</si>
  <si>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</si>
  <si>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</si>
  <si>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</si>
  <si>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</si>
  <si>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</si>
  <si>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</si>
  <si>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</si>
  <si>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</si>
  <si>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</si>
  <si>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</si>
  <si>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</si>
  <si>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</si>
  <si>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</si>
  <si>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</si>
  <si>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</si>
  <si>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</si>
  <si>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</si>
  <si>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</si>
  <si>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</si>
  <si>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</si>
  <si>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</si>
  <si>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</si>
  <si>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</si>
  <si>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</si>
  <si>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</si>
  <si>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</si>
  <si>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</si>
  <si>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</si>
  <si>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</si>
  <si>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</si>
  <si>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</si>
  <si>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</si>
  <si>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</si>
  <si>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</si>
  <si>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</si>
  <si>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</si>
  <si>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</si>
  <si>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</si>
  <si>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</si>
  <si>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</si>
  <si>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</si>
  <si>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</si>
  <si>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</si>
  <si>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</si>
  <si>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</si>
  <si>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</si>
  <si>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</si>
  <si>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</si>
  <si>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</si>
  <si>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</si>
  <si>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</si>
  <si>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</si>
  <si>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</si>
  <si>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</si>
  <si>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</si>
  <si>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</si>
  <si>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</si>
  <si>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</si>
  <si>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</si>
  <si>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</si>
  <si>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</si>
  <si>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</si>
  <si>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</si>
  <si>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</si>
  <si>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</si>
  <si>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</si>
  <si>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</si>
  <si>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</si>
  <si>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</si>
  <si>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</si>
  <si>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</si>
  <si>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</si>
  <si>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</si>
  <si>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</si>
  <si>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</si>
  <si>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</si>
  <si>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</si>
  <si>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</si>
  <si>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</si>
  <si>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</si>
  <si>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</si>
  <si>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</si>
  <si>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</si>
  <si>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</si>
  <si>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</si>
  <si>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</si>
  <si>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</si>
  <si>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</si>
  <si>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</si>
  <si>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</si>
  <si>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</si>
  <si>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</si>
  <si>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</si>
  <si>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</si>
  <si>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</si>
  <si>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</si>
  <si>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</si>
  <si>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</si>
  <si>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</si>
  <si>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</si>
  <si>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</si>
  <si>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</si>
  <si>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</si>
  <si>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</si>
  <si>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</si>
  <si>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</si>
  <si>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</si>
  <si>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</si>
  <si>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</si>
  <si>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</si>
  <si>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</si>
  <si>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</si>
  <si>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</si>
  <si>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</si>
  <si>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</si>
  <si>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</si>
  <si>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</si>
  <si>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</si>
  <si>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</si>
  <si>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</si>
  <si>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</si>
  <si>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</si>
  <si>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</si>
  <si>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</si>
  <si>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</si>
  <si>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</si>
  <si>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</si>
  <si>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</si>
  <si>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</si>
  <si>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</si>
  <si>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</si>
  <si>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</si>
  <si>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</si>
  <si>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</si>
  <si>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</si>
  <si>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</si>
  <si>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</si>
  <si>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</si>
  <si>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</si>
  <si>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</si>
  <si>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</si>
  <si>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</si>
  <si>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</si>
  <si>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</si>
  <si>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</si>
  <si>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</si>
  <si>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</si>
  <si>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</si>
  <si>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</si>
  <si>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</si>
  <si>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</si>
  <si>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</si>
  <si>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</si>
  <si>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</si>
  <si>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</si>
  <si>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</si>
  <si>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</si>
  <si>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</si>
  <si>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</si>
  <si>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</si>
  <si>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</si>
  <si>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</si>
  <si>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</si>
  <si>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</si>
  <si>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</si>
  <si>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</si>
  <si>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</si>
  <si>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</si>
  <si>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</si>
  <si>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</si>
  <si>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</si>
  <si>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</si>
  <si>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</si>
  <si>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</si>
  <si>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</si>
  <si>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</si>
  <si>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</si>
  <si>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</si>
  <si>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</si>
  <si>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</si>
  <si>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</si>
  <si>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</si>
  <si>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</si>
  <si>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</si>
  <si>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</si>
  <si>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</si>
  <si>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</si>
  <si>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</si>
  <si>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</si>
  <si>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</si>
  <si>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</si>
  <si>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</si>
  <si>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</si>
  <si>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</si>
  <si>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</si>
  <si>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</si>
  <si>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</si>
  <si>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</si>
  <si>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</si>
  <si>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</si>
  <si>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</si>
  <si>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</si>
  <si>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</si>
  <si>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</si>
  <si>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</si>
  <si>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</si>
  <si>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</si>
  <si>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</si>
  <si>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</si>
  <si>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</si>
  <si>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</si>
  <si>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</si>
  <si>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</si>
  <si>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</si>
  <si>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</si>
  <si>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</si>
  <si>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</si>
  <si>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</si>
  <si>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</si>
  <si>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</si>
  <si>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</si>
  <si>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</si>
  <si>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</si>
  <si>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</si>
  <si>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</si>
  <si>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</si>
  <si>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</si>
  <si>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</si>
  <si>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</si>
  <si>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</si>
  <si>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</si>
  <si>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</si>
  <si>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</si>
  <si>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</si>
  <si>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</si>
  <si>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</si>
  <si>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</si>
  <si>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</si>
  <si>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</si>
  <si>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</si>
  <si>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</si>
  <si>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</si>
  <si>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</si>
  <si>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</si>
  <si>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</si>
  <si>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</si>
  <si>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</si>
  <si>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</si>
  <si>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</si>
  <si>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</si>
  <si>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</si>
  <si>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</si>
  <si>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</si>
  <si>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</si>
  <si>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</si>
  <si>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</si>
  <si>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</si>
  <si>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</si>
  <si>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</si>
  <si>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</si>
  <si>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</si>
  <si>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</si>
  <si>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</si>
  <si>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</si>
  <si>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</si>
  <si>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</si>
  <si>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</si>
  <si>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</si>
  <si>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</si>
  <si>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</si>
  <si>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</si>
  <si>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</si>
  <si>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</si>
  <si>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</si>
  <si>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</si>
  <si>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</si>
  <si>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</si>
  <si>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</si>
  <si>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</si>
  <si>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</si>
  <si>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</si>
  <si>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</si>
  <si>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</si>
  <si>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</si>
  <si>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</si>
  <si>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</si>
  <si>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</si>
  <si>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</si>
  <si>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</si>
  <si>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</si>
  <si>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</si>
  <si>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</si>
  <si>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</si>
  <si>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</si>
  <si>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</si>
  <si>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</si>
  <si>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</si>
  <si>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</si>
  <si>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</si>
  <si>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</si>
  <si>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</si>
  <si>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</si>
  <si>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</si>
  <si>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</si>
  <si>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</si>
  <si>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</si>
  <si>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</si>
  <si>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</si>
  <si>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</si>
  <si>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</si>
  <si>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</si>
  <si>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</si>
  <si>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</si>
  <si>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</si>
  <si>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</si>
  <si>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</si>
  <si>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</si>
  <si>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</si>
  <si>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</si>
  <si>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</si>
  <si>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</si>
  <si>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</si>
  <si>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</si>
  <si>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</si>
  <si>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</si>
  <si>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</si>
  <si>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</si>
  <si>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</si>
  <si>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</si>
  <si>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</si>
  <si>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</si>
  <si>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</si>
  <si>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</si>
  <si>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</si>
  <si>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</si>
  <si>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</si>
  <si>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</si>
  <si>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</si>
  <si>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</si>
  <si>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</si>
  <si>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</si>
  <si>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</si>
  <si>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</si>
  <si>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</si>
  <si>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</si>
  <si>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</si>
  <si>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</si>
  <si>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</si>
  <si>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</si>
  <si>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</si>
  <si>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</si>
  <si>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</si>
  <si>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</si>
  <si>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</si>
  <si>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</si>
  <si>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</si>
  <si>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</si>
  <si>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</si>
  <si>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</si>
  <si>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</si>
  <si>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</si>
  <si>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</si>
  <si>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</si>
  <si>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</si>
  <si>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</si>
  <si>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</si>
  <si>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</si>
  <si>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</si>
  <si>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</si>
  <si>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</si>
  <si>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</si>
  <si>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</si>
  <si>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</si>
  <si>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</si>
  <si>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</si>
  <si>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</si>
  <si>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</si>
  <si>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</si>
  <si>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</si>
  <si>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</si>
  <si>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</si>
  <si>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</si>
  <si>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</si>
  <si>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</si>
  <si>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</si>
  <si>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</si>
  <si>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</si>
  <si>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</si>
  <si>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</si>
  <si>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</si>
  <si>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</si>
  <si>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</si>
  <si>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</si>
  <si>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</si>
  <si>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</si>
  <si>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</si>
  <si>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</si>
  <si>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</si>
  <si>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</si>
  <si>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</si>
  <si>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</si>
  <si>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</si>
  <si>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</si>
  <si>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</si>
  <si>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</si>
  <si>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</si>
  <si>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</si>
  <si>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</si>
  <si>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</si>
  <si>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</si>
  <si>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</si>
  <si>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</si>
  <si>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</si>
  <si>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</si>
  <si>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</si>
  <si>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</si>
  <si>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</si>
  <si>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</si>
  <si>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</si>
  <si>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</si>
  <si>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</si>
  <si>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</si>
  <si>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</si>
  <si>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</si>
  <si>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</si>
  <si>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</si>
  <si>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</si>
  <si>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</si>
  <si>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</si>
  <si>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</si>
  <si>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</si>
  <si>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</si>
  <si>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</si>
  <si>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</si>
  <si>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</si>
  <si>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</si>
  <si>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</si>
  <si>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</si>
  <si>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</si>
  <si>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</si>
  <si>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</si>
  <si>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</si>
  <si>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</si>
  <si>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</si>
  <si>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</si>
  <si>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</si>
  <si>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</si>
  <si>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</si>
  <si>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</si>
  <si>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</si>
  <si>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</si>
  <si>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</si>
  <si>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</si>
  <si>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</si>
  <si>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</si>
  <si>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</si>
  <si>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</si>
  <si>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</si>
  <si>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</si>
  <si>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</si>
  <si>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</si>
  <si>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</si>
  <si>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</si>
  <si>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</si>
  <si>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</si>
  <si>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</si>
  <si>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</si>
  <si>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</si>
  <si>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</si>
  <si>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</si>
  <si>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</si>
  <si>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</si>
  <si>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</si>
  <si>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</si>
  <si>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</si>
  <si>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</si>
  <si>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</si>
  <si>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</si>
  <si>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</si>
  <si>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</si>
  <si>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</si>
  <si>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</si>
  <si>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</si>
  <si>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</si>
  <si>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</si>
  <si>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</si>
  <si>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</si>
  <si>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</si>
  <si>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</si>
  <si>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</si>
  <si>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</si>
  <si>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</si>
  <si>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</si>
  <si>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</si>
  <si>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</si>
  <si>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</si>
  <si>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</si>
  <si>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</si>
  <si>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</si>
  <si>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</si>
  <si>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</si>
  <si>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</si>
  <si>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</si>
  <si>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</si>
  <si>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</si>
  <si>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</si>
  <si>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</si>
  <si>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</si>
  <si>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</si>
  <si>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</si>
  <si>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</si>
  <si>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</si>
  <si>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</si>
  <si>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</si>
  <si>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</si>
  <si>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</si>
  <si>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</si>
  <si>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</si>
  <si>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</si>
  <si>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</si>
  <si>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</si>
  <si>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</si>
  <si>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</si>
  <si>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</si>
  <si>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</si>
  <si>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</si>
  <si>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</si>
  <si>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</si>
  <si>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</si>
  <si>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</si>
  <si>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</si>
  <si>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</si>
  <si>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</si>
  <si>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</si>
  <si>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</si>
  <si>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</si>
  <si>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</si>
  <si>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</si>
  <si>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</si>
  <si>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</si>
  <si>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</si>
  <si>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</si>
  <si>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</si>
  <si>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</si>
  <si>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</si>
  <si>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</si>
  <si>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</si>
  <si>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</si>
  <si>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</si>
  <si>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</si>
  <si>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</si>
  <si>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</si>
  <si>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</si>
  <si>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</si>
  <si>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</si>
  <si>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</si>
  <si>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</si>
  <si>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</si>
  <si>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</si>
  <si>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</si>
  <si>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</si>
  <si>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</si>
  <si>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</si>
  <si>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</si>
  <si>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</si>
  <si>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</si>
  <si>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</si>
  <si>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</si>
  <si>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</si>
  <si>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</si>
  <si>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</si>
  <si>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</si>
  <si>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</si>
  <si>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</si>
  <si>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</si>
  <si>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</si>
  <si>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</si>
  <si>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</si>
  <si>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</si>
  <si>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</si>
  <si>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</si>
  <si>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</si>
  <si>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</si>
  <si>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</si>
  <si>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</si>
  <si>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</si>
  <si>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</si>
  <si>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</si>
  <si>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</si>
  <si>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</si>
  <si>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</si>
  <si>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</si>
  <si>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</si>
  <si>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</si>
  <si>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</si>
  <si>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</si>
  <si>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</si>
  <si>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</si>
  <si>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</si>
  <si>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</si>
  <si>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</si>
  <si>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</si>
  <si>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</si>
  <si>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</si>
  <si>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</si>
  <si>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</si>
  <si>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</si>
  <si>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</si>
  <si>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</si>
  <si>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</si>
  <si>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</si>
  <si>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</si>
  <si>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</si>
  <si>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</si>
  <si>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</si>
  <si>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</si>
  <si>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</si>
  <si>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</si>
  <si>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</si>
  <si>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</si>
  <si>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</si>
  <si>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</si>
  <si>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</si>
  <si>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</si>
  <si>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</si>
  <si>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</si>
  <si>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</si>
  <si>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</si>
  <si>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</si>
  <si>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</si>
  <si>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</si>
  <si>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</si>
  <si>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</si>
  <si>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</si>
  <si>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</si>
  <si>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</si>
  <si>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</si>
  <si>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</si>
  <si>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</si>
  <si>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</si>
  <si>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</si>
  <si>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</si>
  <si>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</si>
  <si>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</si>
  <si>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</si>
  <si>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</si>
  <si>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</si>
  <si>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</si>
  <si>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</si>
  <si>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</si>
  <si>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</si>
  <si>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</si>
  <si>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</si>
  <si>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</si>
  <si>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</si>
  <si>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</si>
  <si>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</si>
  <si>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</si>
  <si>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</si>
  <si>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</si>
  <si>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</si>
  <si>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</si>
  <si>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</si>
  <si>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</si>
  <si>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</si>
  <si>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</si>
  <si>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</si>
  <si>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</si>
  <si>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</si>
  <si>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</si>
  <si>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</si>
  <si>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</si>
  <si>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</si>
  <si>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</si>
  <si>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</si>
  <si>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</si>
  <si>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</si>
  <si>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</si>
  <si>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</si>
  <si>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</si>
  <si>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</si>
  <si>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</si>
  <si>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</si>
  <si>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</si>
  <si>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</si>
  <si>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</si>
  <si>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</si>
  <si>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</si>
  <si>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</si>
  <si>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</si>
  <si>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</si>
  <si>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</si>
  <si>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</si>
  <si>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</si>
  <si>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</si>
  <si>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</si>
  <si>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</si>
  <si>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</si>
  <si>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</si>
  <si>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</si>
  <si>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</si>
  <si>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</si>
  <si>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</si>
  <si>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</si>
  <si>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</si>
  <si>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</si>
  <si>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</si>
  <si>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</si>
  <si>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</si>
  <si>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</si>
  <si>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</si>
  <si>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</si>
  <si>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</si>
  <si>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</si>
  <si>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</si>
  <si>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</si>
  <si>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</si>
  <si>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</si>
  <si>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</si>
  <si>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</si>
  <si>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</si>
  <si>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</si>
  <si>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</si>
  <si>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</si>
  <si>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</si>
  <si>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</si>
  <si>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</si>
  <si>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</si>
  <si>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</si>
  <si>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</si>
  <si>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</si>
  <si>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</si>
  <si>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</si>
  <si>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</si>
  <si>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</si>
  <si>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</si>
  <si>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</si>
  <si>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</si>
  <si>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</si>
  <si>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</si>
  <si>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</si>
  <si>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</si>
  <si>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</si>
  <si>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</si>
  <si>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</si>
  <si>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</si>
  <si>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</si>
  <si>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</si>
  <si>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</si>
  <si>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</si>
  <si>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</si>
  <si>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</si>
  <si>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</si>
  <si>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</si>
  <si>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</si>
  <si>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</si>
  <si>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</si>
  <si>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</si>
  <si>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</si>
  <si>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</si>
  <si>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</si>
  <si>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</si>
  <si>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</si>
  <si>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</si>
  <si>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</si>
  <si>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</si>
  <si>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</si>
  <si>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</si>
  <si>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</si>
  <si>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</si>
  <si>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</si>
  <si>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</si>
  <si>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</si>
  <si>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</si>
  <si>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</si>
  <si>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</si>
  <si>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</si>
  <si>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</si>
  <si>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</si>
  <si>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</si>
  <si>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</si>
  <si>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</si>
  <si>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</si>
  <si>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</si>
  <si>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</si>
  <si>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</si>
  <si>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</si>
  <si>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</si>
  <si>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</si>
  <si>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</si>
  <si>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</si>
  <si>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</si>
  <si>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</si>
  <si>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</si>
  <si>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</si>
  <si>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</si>
  <si>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</si>
  <si>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</si>
  <si>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</si>
  <si>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</si>
  <si>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</si>
  <si>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</si>
  <si>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</si>
  <si>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</si>
  <si>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</si>
  <si>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</si>
  <si>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</si>
  <si>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</si>
  <si>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</si>
  <si>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</si>
  <si>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</si>
  <si>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</si>
  <si>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</si>
  <si>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</si>
  <si>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</si>
  <si>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</si>
  <si>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</si>
  <si>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</si>
  <si>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</si>
  <si>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</si>
  <si>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</si>
  <si>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</si>
  <si>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</si>
  <si>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</si>
  <si>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</si>
  <si>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</si>
  <si>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</si>
  <si>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</si>
  <si>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</si>
  <si>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</si>
  <si>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</si>
  <si>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</si>
  <si>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</si>
  <si>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</si>
  <si>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</si>
  <si>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</si>
  <si>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</si>
  <si>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</si>
  <si>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</si>
  <si>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</si>
  <si>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</si>
  <si>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</si>
  <si>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</si>
  <si>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</si>
  <si>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</si>
  <si>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</si>
  <si>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</si>
  <si>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</si>
  <si>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</si>
  <si>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</si>
  <si>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</si>
  <si>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</si>
  <si>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</si>
  <si>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</si>
  <si>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</si>
  <si>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</si>
  <si>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</si>
  <si>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</si>
  <si>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</si>
  <si>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</si>
  <si>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</si>
  <si>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</si>
  <si>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</si>
  <si>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</si>
  <si>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</si>
  <si>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</si>
  <si>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</si>
  <si>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</si>
  <si>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</si>
  <si>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</si>
  <si>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</si>
  <si>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</si>
  <si>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</si>
  <si>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</si>
  <si>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</si>
  <si>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</si>
  <si>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</si>
  <si>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</si>
  <si>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</si>
  <si>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</si>
  <si>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</si>
  <si>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</si>
  <si>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</si>
  <si>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</si>
  <si>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</si>
  <si>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</si>
  <si>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</si>
  <si>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</si>
  <si>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</si>
  <si>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</si>
  <si>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</si>
  <si>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</si>
  <si>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</si>
  <si>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</si>
  <si>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</si>
  <si>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</si>
  <si>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</si>
  <si>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</si>
  <si>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</si>
  <si>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</si>
  <si>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</si>
  <si>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</si>
  <si>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</si>
  <si>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</si>
  <si>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</si>
  <si>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</si>
  <si>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</si>
  <si>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</si>
  <si>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</si>
  <si>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</si>
  <si>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</si>
  <si>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</si>
  <si>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</si>
  <si>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</si>
  <si>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</si>
  <si>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</si>
  <si>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</si>
  <si>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</si>
  <si>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</si>
  <si>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</si>
  <si>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</si>
  <si>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</si>
  <si>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</si>
  <si>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</si>
  <si>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</si>
  <si>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</si>
  <si>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</si>
  <si>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</si>
  <si>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</si>
  <si>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</si>
  <si>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</si>
  <si>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</si>
  <si>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</si>
  <si>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</si>
  <si>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</si>
  <si>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</si>
  <si>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</si>
  <si>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</si>
  <si>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</si>
  <si>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</si>
  <si>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</si>
  <si>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</si>
  <si>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</si>
  <si>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</si>
  <si>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</si>
  <si>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</si>
  <si>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</si>
  <si>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</si>
  <si>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</si>
  <si>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</si>
  <si>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</si>
  <si>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</si>
  <si>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</si>
  <si>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</si>
  <si>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</si>
  <si>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</si>
  <si>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</si>
  <si>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</si>
  <si>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</si>
  <si>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</si>
  <si>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</si>
  <si>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</si>
  <si>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</si>
  <si>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</si>
  <si>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</si>
  <si>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</si>
  <si>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</si>
  <si>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</si>
  <si>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</si>
  <si>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</si>
  <si>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</si>
  <si>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</si>
  <si>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</si>
  <si>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</si>
  <si>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</si>
  <si>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</si>
  <si>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</si>
  <si>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</si>
  <si>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</si>
  <si>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</si>
  <si>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</si>
  <si>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</si>
  <si>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</si>
  <si>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</si>
  <si>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</si>
  <si>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</si>
  <si>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</si>
  <si>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</si>
  <si>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</si>
  <si>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</si>
  <si>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</si>
  <si>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</si>
  <si>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</si>
  <si>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</si>
  <si>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</si>
  <si>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</si>
  <si>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</si>
  <si>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</si>
  <si>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</si>
  <si>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</si>
  <si>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</si>
  <si>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</si>
  <si>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</si>
  <si>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</si>
  <si>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</si>
  <si>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</si>
  <si>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</si>
  <si>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</si>
  <si>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</si>
  <si>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</si>
  <si>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</si>
  <si>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</si>
  <si>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</si>
  <si>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</si>
  <si>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</si>
  <si>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</si>
  <si>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</si>
  <si>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</si>
  <si>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</si>
  <si>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</si>
  <si>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</si>
  <si>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</si>
  <si>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</si>
  <si>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</si>
  <si>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</si>
  <si>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</si>
  <si>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</si>
  <si>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</si>
  <si>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</si>
  <si>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</si>
  <si>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</si>
  <si>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</si>
  <si>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</si>
  <si>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</si>
  <si>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</si>
  <si>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</si>
  <si>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</si>
  <si>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</si>
  <si>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</si>
  <si>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</si>
  <si>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</si>
  <si>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</si>
  <si>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</si>
  <si>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</si>
  <si>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</si>
  <si>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</si>
  <si>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</si>
  <si>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</si>
  <si>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</si>
  <si>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</si>
  <si>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</si>
  <si>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</si>
  <si>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</si>
  <si>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</si>
  <si>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</si>
  <si>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</si>
  <si>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</si>
  <si>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</si>
  <si>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</si>
  <si>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</si>
  <si>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</si>
  <si>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</si>
  <si>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</si>
  <si>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</si>
  <si>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</si>
  <si>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</si>
  <si>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</si>
  <si>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</si>
  <si>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</si>
  <si>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</si>
  <si>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</si>
  <si>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</si>
  <si>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</si>
  <si>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</si>
  <si>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</si>
  <si>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</si>
  <si>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</si>
  <si>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</si>
  <si>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</si>
  <si>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</si>
  <si>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</si>
  <si>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</si>
  <si>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</si>
  <si>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</si>
  <si>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</si>
  <si>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</si>
  <si>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</si>
  <si>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</si>
  <si>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</si>
  <si>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</si>
  <si>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</si>
  <si>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</si>
  <si>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</si>
  <si>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</si>
  <si>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</si>
  <si>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</si>
  <si>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</si>
  <si>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</si>
  <si>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</si>
  <si>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</si>
  <si>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</si>
  <si>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</si>
  <si>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</si>
  <si>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</si>
  <si>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</si>
  <si>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</si>
  <si>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</si>
  <si>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</si>
  <si>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</si>
  <si>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</si>
  <si>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</si>
  <si>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</si>
  <si>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</si>
  <si>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</si>
  <si>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</si>
  <si>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</si>
  <si>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</si>
  <si>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</si>
  <si>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</si>
  <si>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</si>
  <si>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</si>
  <si>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</si>
  <si>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</si>
  <si>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</si>
  <si>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</si>
  <si>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</si>
  <si>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</si>
  <si>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</si>
  <si>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</si>
  <si>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</si>
  <si>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</si>
  <si>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</si>
  <si>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</si>
  <si>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</si>
  <si>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</si>
  <si>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</si>
  <si>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</si>
  <si>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</si>
  <si>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</si>
  <si>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</si>
  <si>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</si>
  <si>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</si>
  <si>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</si>
  <si>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</si>
  <si>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</si>
  <si>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</si>
  <si>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</si>
  <si>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</si>
  <si>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</si>
  <si>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</si>
  <si>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</si>
  <si>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</si>
  <si>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</si>
  <si>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</si>
  <si>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</si>
  <si>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</si>
  <si>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</si>
  <si>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</si>
  <si>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</si>
  <si>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</si>
  <si>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</si>
  <si>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</si>
  <si>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</si>
  <si>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</si>
  <si>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</si>
  <si>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</si>
  <si>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</si>
  <si>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</si>
  <si>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</si>
  <si>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</si>
  <si>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</si>
  <si>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</si>
  <si>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</si>
  <si>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</si>
  <si>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</si>
  <si>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</si>
  <si>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</si>
  <si>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</si>
  <si>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</si>
  <si>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</si>
  <si>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</si>
  <si>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</si>
  <si>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</si>
  <si>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</si>
  <si>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</si>
  <si>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</si>
  <si>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</si>
  <si>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</si>
  <si>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</si>
  <si>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</si>
  <si>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</si>
  <si>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</si>
  <si>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</si>
  <si>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</si>
  <si>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</si>
  <si>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</si>
  <si>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</si>
  <si>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</si>
  <si>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</si>
  <si>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</si>
  <si>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</si>
  <si>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</si>
  <si>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</si>
  <si>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</si>
  <si>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</si>
  <si>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</si>
  <si>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</si>
  <si>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</si>
  <si>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</si>
  <si>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</si>
  <si>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</si>
  <si>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</si>
  <si>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</si>
  <si>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</si>
  <si>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</si>
  <si>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</si>
  <si>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</si>
  <si>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</si>
  <si>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</si>
  <si>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</si>
  <si>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</si>
  <si>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</si>
  <si>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</si>
  <si>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</si>
  <si>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</si>
  <si>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</si>
  <si>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</si>
  <si>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</si>
  <si>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</si>
  <si>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</si>
  <si>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</si>
  <si>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</si>
  <si>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</si>
  <si>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</si>
  <si>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</si>
  <si>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</si>
  <si>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</si>
  <si>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</si>
  <si>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</si>
  <si>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</si>
  <si>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</si>
  <si>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</si>
  <si>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</si>
  <si>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</si>
  <si>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</si>
  <si>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</si>
  <si>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</si>
  <si>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</si>
  <si>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</si>
  <si>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</si>
  <si>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</si>
  <si>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</si>
  <si>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</si>
  <si>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</si>
  <si>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</si>
  <si>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</si>
  <si>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</si>
  <si>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</si>
  <si>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</si>
  <si>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</si>
  <si>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</si>
  <si>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</si>
  <si>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</si>
  <si>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</si>
  <si>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</si>
  <si>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</si>
  <si>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</si>
  <si>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</si>
  <si>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</si>
  <si>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</si>
  <si>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</si>
  <si>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</si>
  <si>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</si>
  <si>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</si>
  <si>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</si>
  <si>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</si>
  <si>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</si>
  <si>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</si>
  <si>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</si>
  <si>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</si>
  <si>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</si>
  <si>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</si>
  <si>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</si>
  <si>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</si>
  <si>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</si>
  <si>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</si>
  <si>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</si>
  <si>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</si>
  <si>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</si>
  <si>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</si>
  <si>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</si>
  <si>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</si>
  <si>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</si>
  <si>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</si>
  <si>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</si>
  <si>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</si>
  <si>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</si>
  <si>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</si>
  <si>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</si>
  <si>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</si>
  <si>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</si>
  <si>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</si>
  <si>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</si>
  <si>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</si>
  <si>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</si>
  <si>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</si>
  <si>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</si>
  <si>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</si>
  <si>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</si>
  <si>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</si>
  <si>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</si>
  <si>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</si>
  <si>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</si>
  <si>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</si>
  <si>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</si>
  <si>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</si>
  <si>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</si>
  <si>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</si>
  <si>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</si>
  <si>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</si>
  <si>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</si>
  <si>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</si>
  <si>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</si>
  <si>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</si>
  <si>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</si>
  <si>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</si>
  <si>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</si>
  <si>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</si>
  <si>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</si>
  <si>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</si>
  <si>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</si>
  <si>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</si>
  <si>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</si>
  <si>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</si>
  <si>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</si>
  <si>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</si>
  <si>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</si>
  <si>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</si>
  <si>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</si>
  <si>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</si>
  <si>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</si>
  <si>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</si>
  <si>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</si>
  <si>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</si>
  <si>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</si>
  <si>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</si>
  <si>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</si>
  <si>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</si>
  <si>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</si>
  <si>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</si>
  <si>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</si>
  <si>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</si>
  <si>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</si>
  <si>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</si>
  <si>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</si>
  <si>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</si>
  <si>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Department-wise Employee Experience Analysis</t>
  </si>
  <si>
    <t>HR Dashboard KPI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</si>
</sst>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7"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
      <b/>
      <sz val="10"/>
      <color theme="0"/>
      <name val="Amasis MT Pro"/>
      <family val="1"/>
    </font>
    <font>
      <b/>
      <sz val="11"/>
      <color theme="0"/>
      <name val="Calibri"/>
      <family val="2"/>
      <scheme val="minor"/>
    </font>
    <font>
      <b/>
      <sz val="12"/>
      <color theme="0"/>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79998168889431442"/>
        <bgColor theme="4" tint="0.79998168889431442"/>
      </patternFill>
    </fill>
  </fills>
  <borders count="3">
    <border>
      <left/>
      <right/>
      <top/>
      <bottom/>
      <diagonal/>
    </border>
    <border>
      <left/>
      <right/>
      <top/>
      <bottom style="thin">
        <color theme="9" tint="0.39997558519241921"/>
      </bottom>
      <diagonal/>
    </border>
    <border>
      <left style="thin">
        <color rgb="FF669E40"/>
      </left>
      <right style="thin">
        <color rgb="FF669E40"/>
      </right>
      <top style="thin">
        <color rgb="FF669E40"/>
      </top>
      <bottom style="thin">
        <color rgb="FF669E40"/>
      </bottom>
      <diagonal/>
    </border>
  </borders>
  <cellStyleXfs count="1">
    <xf numFmtId="0" fontId="0" fillId="0" borderId="0"/>
  </cellStyleXfs>
  <cellXfs count="20">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164" fontId="0" fillId="0" borderId="0" xfId="0" applyNumberFormat="1"/>
    <xf numFmtId="4" fontId="0" fillId="3" borderId="0" xfId="0" applyNumberFormat="1" applyFill="1"/>
    <xf numFmtId="1" fontId="0" fillId="0" borderId="0" xfId="0" applyNumberFormat="1"/>
    <xf numFmtId="165" fontId="0" fillId="0" borderId="0" xfId="0" applyNumberFormat="1"/>
    <xf numFmtId="0" fontId="0" fillId="0" borderId="2" xfId="0" applyBorder="1"/>
    <xf numFmtId="164" fontId="0" fillId="0" borderId="2" xfId="0" applyNumberFormat="1" applyBorder="1"/>
    <xf numFmtId="0" fontId="5" fillId="2" borderId="2" xfId="0" applyFont="1" applyFill="1" applyBorder="1"/>
    <xf numFmtId="4" fontId="3" fillId="4" borderId="0" xfId="0" applyNumberFormat="1" applyFont="1" applyFill="1"/>
    <xf numFmtId="4" fontId="0" fillId="3" borderId="1" xfId="0" applyNumberFormat="1" applyFill="1" applyBorder="1"/>
    <xf numFmtId="0" fontId="3" fillId="4" borderId="1" xfId="0" applyFont="1" applyFill="1" applyBorder="1"/>
    <xf numFmtId="0" fontId="5" fillId="2" borderId="0" xfId="0" applyFont="1" applyFill="1" applyAlignment="1">
      <alignment horizontal="center" vertical="center"/>
    </xf>
    <xf numFmtId="0" fontId="6" fillId="2" borderId="0" xfId="0" applyFont="1" applyFill="1" applyAlignment="1">
      <alignment horizontal="center" vertical="center"/>
    </xf>
    <xf numFmtId="0" fontId="1" fillId="2" borderId="0" xfId="0" applyFont="1" applyFill="1" applyAlignment="1">
      <alignment horizontal="left" vertical="center"/>
    </xf>
    <xf numFmtId="0" fontId="0" fillId="0" borderId="0" xfId="0" applyNumberFormat="1"/>
  </cellXfs>
  <cellStyles count="1">
    <cellStyle name="Normal" xfId="0" builtinId="0"/>
  </cellStyles>
  <dxfs count="35">
    <dxf>
      <numFmt numFmtId="165" formatCode="0.0%"/>
    </dxf>
    <dxf>
      <numFmt numFmtId="165" formatCode="0.0%"/>
    </dxf>
    <dxf>
      <numFmt numFmtId="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4" formatCode="#,##0.00"/>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4"/>
      <tableStyleElement type="headerRow" dxfId="33"/>
    </tableStyle>
    <tableStyle name="myslicer" pivot="0" table="0" count="10" xr9:uid="{AF04C38B-2A4A-4A70-8619-8E99E934A607}">
      <tableStyleElement type="wholeTable" dxfId="32"/>
      <tableStyleElement type="headerRow" dxfId="31"/>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eetMetadata" Target="metadata.xml"/><Relationship Id="rId21" Type="http://schemas.microsoft.com/office/2007/relationships/slicerCache" Target="slicerCaches/slicerCache2.xml"/><Relationship Id="rId42" Type="http://schemas.openxmlformats.org/officeDocument/2006/relationships/customXml" Target="../customXml/item14.xml"/><Relationship Id="rId47" Type="http://schemas.openxmlformats.org/officeDocument/2006/relationships/customXml" Target="../customXml/item19.xml"/><Relationship Id="rId63" Type="http://schemas.openxmlformats.org/officeDocument/2006/relationships/customXml" Target="../customXml/item35.xml"/><Relationship Id="rId68" Type="http://schemas.openxmlformats.org/officeDocument/2006/relationships/customXml" Target="../customXml/item4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ustomXml" Target="../customXml/item1.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3" Type="http://schemas.openxmlformats.org/officeDocument/2006/relationships/customXml" Target="../customXml/item25.xml"/><Relationship Id="rId58" Type="http://schemas.openxmlformats.org/officeDocument/2006/relationships/customXml" Target="../customXml/item30.xml"/><Relationship Id="rId66" Type="http://schemas.openxmlformats.org/officeDocument/2006/relationships/customXml" Target="../customXml/item38.xml"/><Relationship Id="rId5" Type="http://schemas.openxmlformats.org/officeDocument/2006/relationships/worksheet" Target="worksheets/sheet5.xml"/><Relationship Id="rId61" Type="http://schemas.openxmlformats.org/officeDocument/2006/relationships/customXml" Target="../customXml/item33.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56" Type="http://schemas.openxmlformats.org/officeDocument/2006/relationships/customXml" Target="../customXml/item28.xml"/><Relationship Id="rId64" Type="http://schemas.openxmlformats.org/officeDocument/2006/relationships/customXml" Target="../customXml/item36.xml"/><Relationship Id="rId69" Type="http://schemas.openxmlformats.org/officeDocument/2006/relationships/customXml" Target="../customXml/item41.xml"/><Relationship Id="rId8" Type="http://schemas.openxmlformats.org/officeDocument/2006/relationships/worksheet" Target="worksheets/sheet8.xml"/><Relationship Id="rId51" Type="http://schemas.openxmlformats.org/officeDocument/2006/relationships/customXml" Target="../customXml/item2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59" Type="http://schemas.openxmlformats.org/officeDocument/2006/relationships/customXml" Target="../customXml/item31.xml"/><Relationship Id="rId67" Type="http://schemas.openxmlformats.org/officeDocument/2006/relationships/customXml" Target="../customXml/item39.xml"/><Relationship Id="rId20" Type="http://schemas.microsoft.com/office/2007/relationships/slicerCache" Target="slicerCaches/slicerCache1.xml"/><Relationship Id="rId41" Type="http://schemas.openxmlformats.org/officeDocument/2006/relationships/customXml" Target="../customXml/item13.xml"/><Relationship Id="rId54" Type="http://schemas.openxmlformats.org/officeDocument/2006/relationships/customXml" Target="../customXml/item26.xml"/><Relationship Id="rId62" Type="http://schemas.openxmlformats.org/officeDocument/2006/relationships/customXml" Target="../customXml/item3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 Id="rId57" Type="http://schemas.openxmlformats.org/officeDocument/2006/relationships/customXml" Target="../customXml/item29.xml"/><Relationship Id="rId10" Type="http://schemas.openxmlformats.org/officeDocument/2006/relationships/worksheet" Target="worksheets/sheet10.xml"/><Relationship Id="rId31" Type="http://schemas.openxmlformats.org/officeDocument/2006/relationships/customXml" Target="../customXml/item3.xml"/><Relationship Id="rId44" Type="http://schemas.openxmlformats.org/officeDocument/2006/relationships/customXml" Target="../customXml/item16.xml"/><Relationship Id="rId52" Type="http://schemas.openxmlformats.org/officeDocument/2006/relationships/customXml" Target="../customXml/item24.xml"/><Relationship Id="rId60" Type="http://schemas.openxmlformats.org/officeDocument/2006/relationships/customXml" Target="../customXml/item32.xml"/><Relationship Id="rId65" Type="http://schemas.openxmlformats.org/officeDocument/2006/relationships/customXml" Target="../customXml/item3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1.xml"/><Relationship Id="rId34" Type="http://schemas.openxmlformats.org/officeDocument/2006/relationships/customXml" Target="../customXml/item6.xml"/><Relationship Id="rId50" Type="http://schemas.openxmlformats.org/officeDocument/2006/relationships/customXml" Target="../customXml/item22.xml"/><Relationship Id="rId55" Type="http://schemas.openxmlformats.org/officeDocument/2006/relationships/customXml" Target="../customXml/item2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3.4337185613634733E-2"/>
              <c:y val="0.382015483358697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6667-4BB5-8346-E3D6BB987563}"/>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6667-4BB5-8346-E3D6BB98756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Pivot_Gender_Attrition_Analysis!$A$6:$A$8</c:f>
              <c:strCache>
                <c:ptCount val="2"/>
                <c:pt idx="0">
                  <c:v>Female</c:v>
                </c:pt>
                <c:pt idx="1">
                  <c:v>Male</c:v>
                </c:pt>
              </c:strCache>
            </c:strRef>
          </c:cat>
          <c:val>
            <c:numRef>
              <c:f>Pivot_Gender_Attrition_Analysis!$B$6:$B$8</c:f>
              <c:numCache>
                <c:formatCode>General</c:formatCode>
                <c:ptCount val="2"/>
                <c:pt idx="0">
                  <c:v>1</c:v>
                </c:pt>
                <c:pt idx="1">
                  <c:v>2</c:v>
                </c:pt>
              </c:numCache>
            </c:numRef>
          </c:val>
          <c:extLst>
            <c:ext xmlns:c16="http://schemas.microsoft.com/office/drawing/2014/chart" uri="{C3380CC4-5D6E-409C-BE32-E72D297353CC}">
              <c16:uniqueId val="{00000006-F4D1-449C-A390-D35A3D09DA7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0.00</c:formatCode>
                <c:ptCount val="7"/>
                <c:pt idx="2">
                  <c:v>0.125</c:v>
                </c:pt>
                <c:pt idx="3">
                  <c:v>0.1111111111111111</c:v>
                </c:pt>
                <c:pt idx="4">
                  <c:v>7.6923076923076927E-2</c:v>
                </c:pt>
              </c:numCache>
            </c:numRef>
          </c:val>
          <c:extLst>
            <c:ext xmlns:c16="http://schemas.microsoft.com/office/drawing/2014/chart" uri="{C3380CC4-5D6E-409C-BE32-E72D297353CC}">
              <c16:uniqueId val="{00000000-83F2-4E00-AD1E-C6C3E213DB6B}"/>
            </c:ext>
          </c:extLst>
        </c:ser>
        <c:ser>
          <c:idx val="1"/>
          <c:order val="1"/>
          <c:tx>
            <c:strRef>
              <c:f>Pivot_Dept_OT_Attrition_Rate!$C$3</c:f>
              <c:strCache>
                <c:ptCount val="1"/>
                <c:pt idx="0">
                  <c:v>Overtime Rate(%)</c:v>
                </c:pt>
              </c:strCache>
            </c:strRef>
          </c:tx>
          <c:spPr>
            <a:solidFill>
              <a:schemeClr val="accent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1-83F2-4E00-AD1E-C6C3E213DB6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chart" Target="../charts/chart3.xml"/><Relationship Id="rId11" Type="http://schemas.openxmlformats.org/officeDocument/2006/relationships/image" Target="../media/image6.svg"/><Relationship Id="rId5" Type="http://schemas.openxmlformats.org/officeDocument/2006/relationships/chart" Target="../charts/chart2.xml"/><Relationship Id="rId15" Type="http://schemas.openxmlformats.org/officeDocument/2006/relationships/image" Target="../media/image10.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18677</xdr:colOff>
      <xdr:row>21</xdr:row>
      <xdr:rowOff>169211</xdr:rowOff>
    </xdr:from>
    <xdr:to>
      <xdr:col>4</xdr:col>
      <xdr:colOff>410882</xdr:colOff>
      <xdr:row>33</xdr:row>
      <xdr:rowOff>84046</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505825" y="114300"/>
          <a:ext cx="247650" cy="247650"/>
        </a:xfrm>
        <a:prstGeom prst="rect">
          <a:avLst/>
        </a:prstGeom>
      </xdr:spPr>
    </xdr:pic>
    <xdr:clientData/>
  </xdr:twoCellAnchor>
  <xdr:twoCellAnchor>
    <xdr:from>
      <xdr:col>0</xdr:col>
      <xdr:colOff>0</xdr:colOff>
      <xdr:row>2</xdr:row>
      <xdr:rowOff>0</xdr:rowOff>
    </xdr:from>
    <xdr:to>
      <xdr:col>21</xdr:col>
      <xdr:colOff>0</xdr:colOff>
      <xdr:row>32</xdr:row>
      <xdr:rowOff>85725</xdr:rowOff>
    </xdr:to>
    <xdr:grpSp>
      <xdr:nvGrpSpPr>
        <xdr:cNvPr id="2" name="Group 1">
          <a:extLst>
            <a:ext uri="{FF2B5EF4-FFF2-40B4-BE49-F238E27FC236}">
              <a16:creationId xmlns:a16="http://schemas.microsoft.com/office/drawing/2014/main" id="{E9936433-C995-8308-49B9-DE66D314FDCB}"/>
            </a:ext>
          </a:extLst>
        </xdr:cNvPr>
        <xdr:cNvGrpSpPr/>
      </xdr:nvGrpSpPr>
      <xdr:grpSpPr>
        <a:xfrm>
          <a:off x="0" y="381000"/>
          <a:ext cx="12639675" cy="5800725"/>
          <a:chOff x="0" y="381000"/>
          <a:chExt cx="12639675" cy="5800725"/>
        </a:xfrm>
      </xdr:grpSpPr>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10734675" y="381000"/>
              <a:ext cx="1905000" cy="89535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9523" y="1247775"/>
          <a:ext cx="5086351" cy="2495549"/>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7848600" y="381000"/>
              <a:ext cx="2895599" cy="91440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5924550" y="3686175"/>
          <a:ext cx="6715125" cy="2495549"/>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3743325"/>
          <a:ext cx="6010275" cy="243840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4838701" y="1247775"/>
          <a:ext cx="2990850" cy="2495549"/>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7781925" y="1247775"/>
          <a:ext cx="4857750" cy="2495549"/>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8102" y="438153"/>
                <a:ext cx="257173" cy="257173"/>
              </a:xfrm>
              <a:prstGeom prst="rect">
                <a:avLst/>
              </a:prstGeom>
            </xdr:spPr>
          </xdr:pic>
        </xdr:grpSp>
      </xdr:grpSp>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38102" y="438153"/>
                <a:ext cx="257173" cy="257173"/>
              </a:xfrm>
              <a:prstGeom prst="rect">
                <a:avLst/>
              </a:prstGeom>
            </xdr:spPr>
          </xdr:pic>
        </xdr:grpSp>
      </xdr:grpSp>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C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1E369B-813F-4102-9CF7-8550B90E57B0}" type="TxLink">
                  <a:rPr lang="en-US" sz="3200" b="0" i="0" u="none" strike="noStrike">
                    <a:solidFill>
                      <a:schemeClr val="accent6">
                        <a:lumMod val="50000"/>
                      </a:schemeClr>
                    </a:solidFill>
                    <a:latin typeface="Calibri"/>
                    <a:cs typeface="Calibri"/>
                  </a:rPr>
                  <a:pPr algn="ctr"/>
                  <a:t>3.7</a:t>
                </a:fld>
                <a:endParaRPr lang="en-US" sz="80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grpSp>
        <xdr:nvGrpSpPr>
          <xdr:cNvPr id="71" name="Group 70">
            <a:extLst>
              <a:ext uri="{FF2B5EF4-FFF2-40B4-BE49-F238E27FC236}">
                <a16:creationId xmlns:a16="http://schemas.microsoft.com/office/drawing/2014/main" id="{BFD37784-AB51-AA69-CB13-416472CA7ABC}"/>
              </a:ext>
            </a:extLst>
          </xdr:cNvPr>
          <xdr:cNvGrpSpPr/>
        </xdr:nvGrpSpPr>
        <xdr:grpSpPr>
          <a:xfrm>
            <a:off x="3162300" y="409575"/>
            <a:ext cx="1514476" cy="809626"/>
            <a:chOff x="4867275" y="409575"/>
            <a:chExt cx="1514476" cy="809625"/>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4867275"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4867275" y="419100"/>
              <a:ext cx="1514475" cy="800101"/>
              <a:chOff x="19050" y="428625"/>
              <a:chExt cx="1514475" cy="800101"/>
            </a:xfrm>
          </xdr:grpSpPr>
          <xdr:sp macro="" textlink="KPIs!D4">
            <xdr:nvSpPr>
              <xdr:cNvPr id="60" name="TextBox 59">
                <a:extLst>
                  <a:ext uri="{FF2B5EF4-FFF2-40B4-BE49-F238E27FC236}">
                    <a16:creationId xmlns:a16="http://schemas.microsoft.com/office/drawing/2014/main" id="{B31AF3F9-AF8A-6089-0D9C-BA4AEC7D81C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B1D435-41CD-4038-A442-37ECE416BB96}" type="TxLink">
                  <a:rPr lang="en-US" sz="3200" b="0" i="0" u="none" strike="noStrike">
                    <a:solidFill>
                      <a:schemeClr val="accent6">
                        <a:lumMod val="50000"/>
                      </a:schemeClr>
                    </a:solidFill>
                    <a:latin typeface="Calibri"/>
                    <a:cs typeface="Calibri"/>
                  </a:rPr>
                  <a:pPr algn="ctr"/>
                  <a:t>8.0%</a:t>
                </a:fld>
                <a:endParaRPr lang="en-US" sz="8000" b="1">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E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9CE83-44CC-4040-9380-BDA4ECE9CEC0}" type="TxLink">
                  <a:rPr lang="en-US" sz="3200" b="0" i="0" u="none" strike="noStrike">
                    <a:solidFill>
                      <a:schemeClr val="accent6">
                        <a:lumMod val="50000"/>
                      </a:schemeClr>
                    </a:solidFill>
                    <a:latin typeface="Calibri"/>
                    <a:cs typeface="Calibri"/>
                  </a:rPr>
                  <a:pPr algn="ctr"/>
                  <a:t>2.7</a:t>
                </a:fld>
                <a:endParaRPr lang="en-US" sz="287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2083331"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1" level="1">
      <sharedItems count="7">
        <s v="Customer Success"/>
        <s v="Engineering"/>
        <s v="Finance"/>
        <s v="HR"/>
        <s v="Marketing"/>
        <s v="Operations"/>
        <s v="Sales"/>
      </sharedItems>
    </cacheField>
    <cacheField name="[Measures].[Sum of Attrition_Count]" caption="Sum of Attrition_Count" numFmtId="0" hierarchy="61" level="32767"/>
    <cacheField name="[Dim_Employee__1].[Gender].[Gender]" caption="Gender" numFmtId="0" hierarchy="9" level="1">
      <sharedItems containsSemiMixedTypes="0" containsNonDate="0" containsString="0"/>
    </cacheField>
  </cacheFields>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2"/>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3240739" backgroundQuery="1" createdVersion="8" refreshedVersion="8" minRefreshableVersion="3" recordCount="0" supportSubquery="1" supportAdvancedDrill="1" xr:uid="{16AEED98-83CD-44C6-B5B6-BD11D242B5FD}">
  <cacheSource type="external" connectionId="6"/>
  <cacheFields count="6">
    <cacheField name="[Dim_Employee__1].[Department].[Department]" caption="Department" numFmtId="0" hierarchy="11" level="1">
      <sharedItems count="7">
        <s v="Customer Success"/>
        <s v="Engineering"/>
        <s v="Finance"/>
        <s v="HR"/>
        <s v="Marketing"/>
        <s v="Operations"/>
        <s v="Sales"/>
      </sharedItems>
    </cacheField>
    <cacheField name="[Measures].[Average of Environment_Satisfaction]" caption="Average of Environment_Satisfaction" numFmtId="0" hierarchy="53" level="32767"/>
    <cacheField name="[Measures].[Average of Job_Involvement]" caption="Average of Job_Involvement" numFmtId="0" hierarchy="54" level="32767"/>
    <cacheField name="[Measures].[Average of Work_Life_Balance]" caption="Average of Work_Life_Balance" numFmtId="0" hierarchy="55" level="32767"/>
    <cacheField name="[Measures].[Average of Relationship_Satisfaction]" caption="Average of Relationship_Satisfaction" numFmtId="0" hierarchy="60" level="32767"/>
    <cacheField name="[Dim_Employee__1].[Gender].[Gender]" caption="Gender" numFmtId="0" hierarchy="9" level="1">
      <sharedItems containsSemiMixedTypes="0" containsNonDate="0" containsString="0"/>
    </cacheField>
  </cacheFields>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4629632"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ttrition Rate]" caption="Attrition Rate" numFmtId="0" hierarchy="63" level="32767"/>
    <cacheField name="[Measures].[Overtime Rate]" caption="Overtime Rate" numFmtId="0" hierarchy="64" level="32767"/>
    <cacheField name="[Dim_Employee__1].[Gender].[Gender]" caption="Gender" numFmtId="0" hierarchy="9" level="1">
      <sharedItems containsSemiMixedTypes="0" containsNonDate="0" containsString="0"/>
    </cacheField>
  </cacheFields>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6018518"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verage of Performance_Rating]" caption="Average of Performance_Rating" numFmtId="0" hierarchy="49" level="32767"/>
    <cacheField name="[Measures].[Average of YearsAtCompany]" caption="Average of YearsAtCompany" numFmtId="0" hierarchy="47" level="32767"/>
    <cacheField name="[Dim_Employee__1].[Gender].[Gender]" caption="Gender" numFmtId="0" hierarchy="9" level="1">
      <sharedItems containsSemiMixedTypes="0" containsNonDate="0" containsString="0"/>
    </cacheField>
  </cacheFields>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7638889" backgroundQuery="1" createdVersion="8" refreshedVersion="8" minRefreshableVersion="3" recordCount="0" supportSubquery="1" supportAdvancedDrill="1" xr:uid="{4C9B99B5-272C-4FD8-845C-F76BC6BB59A4}">
  <cacheSource type="external" connectionId="6"/>
  <cacheFields count="7">
    <cacheField name="[Measures].[Current Employees]" caption="Current Employees" numFmtId="0" hierarchy="65" level="32767"/>
    <cacheField name="[Measures].[Attrition Rate]" caption="Attrition Rate" numFmtId="0" hierarchy="63" level="32767"/>
    <cacheField name="[Measures].[Avg Performance Rating]" caption="Avg Performance Rating" numFmtId="0" hierarchy="66" level="32767"/>
    <cacheField name="[Measures].[Overtime Rate]" caption="Overtime Rate" numFmtId="0" hierarchy="64" level="32767"/>
    <cacheField name="[Measures].[Avg Experience Score]" caption="Avg Experience Score" numFmtId="0" hierarchy="67" level="32767"/>
    <cacheField name="[Dim_Employee__1].[Department].[Department]" caption="Department" numFmtId="0" hierarchy="11" level="1">
      <sharedItems containsSemiMixedTypes="0" containsNonDate="0" containsString="0"/>
    </cacheField>
    <cacheField name="[Dim_Employee__1].[Gender].[Gender]" caption="Gender" numFmtId="0" hierarchy="9" level="1">
      <sharedItems containsSemiMixedTypes="0" containsNonDate="0" containsString="0"/>
    </cacheField>
  </cacheFields>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5"/>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3"/>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2"/>
      </fieldsUsage>
    </cacheHierarchy>
    <cacheHierarchy uniqueName="[Measures].[Avg Experience Score]" caption="Avg Experience Score" measure="1" displayFolder="" measureGroup="Fact_Attrition" count="0" oneField="1">
      <fieldsUsage count="1">
        <fieldUsage x="4"/>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914352" backgroundQuery="1" createdVersion="8" refreshedVersion="8" minRefreshableVersion="3" recordCount="0" supportSubquery="1" supportAdvancedDrill="1" xr:uid="{18376E4F-C07F-4A96-BFB2-EA6711BB0B98}">
  <cacheSource type="external" connectionId="6"/>
  <cacheFields count="4">
    <cacheField name="[Dim_Employee__1].[Gender].[Gender]" caption="Gender" numFmtId="0" hierarchy="9" level="1">
      <sharedItems count="2">
        <s v="Female"/>
        <s v="Male"/>
      </sharedItems>
    </cacheField>
    <cacheField name="[Fact_Attrition].[Attrition_Status].[Attrition_Status]" caption="Attrition_Status" numFmtId="0" hierarchy="36" level="1">
      <sharedItems containsSemiMixedTypes="0" containsNonDate="0" containsString="0"/>
    </cacheField>
    <cacheField name="[Measures].[Count of Employee_ID 2]" caption="Count of Employee_ID 2" numFmtId="0" hierarchy="58" level="32767"/>
    <cacheField name="[Dim_Employee__1].[Department].[Department]" caption="Department" numFmtId="0" hierarchy="11" level="1">
      <sharedItems containsSemiMixedTypes="0" containsNonDate="0" containsString="0"/>
    </cacheField>
  </cacheFields>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3"/>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14100694445" backgroundQuery="1" createdVersion="3" refreshedVersion="8" minRefreshableVersion="3" recordCount="0" supportSubquery="1" supportAdvancedDrill="1" xr:uid="{E10BF724-035F-4C8D-961E-2D26C25E276D}">
  <cacheSource type="external" connectionId="6">
    <extLst>
      <ext xmlns:x14="http://schemas.microsoft.com/office/spreadsheetml/2009/9/main" uri="{F057638F-6D5F-4e77-A914-E7F072B9BCA8}">
        <x14:sourceConnection name="ThisWorkbookDataModel"/>
      </ext>
    </extLst>
  </cacheSource>
  <cacheFields count="0"/>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Dim_Date__1].[Month2]" caption="Month2" attribute="1" time="1" defaultMemberUniqueName="[Dim_Date__1].[Month2].[All]" allUniqueName="[Dim_Date__1].[Month2].[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39"/>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2"/>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0"/>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29"/>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8"/>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1"/>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4"/>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2"/>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403486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224"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4">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239"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rowHeaderCaption="Gender">
  <location ref="A5:B8" firstHeaderRow="1" firstDataRow="1" firstDataCol="1" rowPageCount="1" colPageCount="1"/>
  <pivotFields count="4">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pageFields count="1">
    <pageField fld="1" hier="36"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4">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230"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9"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4">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233"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30">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4">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227"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rowHeaderCaption="Department">
  <location ref="A4:E12" firstHeaderRow="0"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2">
      <pivotArea outline="0" collapsedLevelsAreSubtotals="1" fieldPosition="0"/>
    </format>
  </formats>
  <pivotHierarchies count="74">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236"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numFmtId="165"/>
    <dataField fld="4" subtotal="count" baseField="0" baseItem="0"/>
  </dataFields>
  <formats count="2">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3"/>
          </reference>
        </references>
      </pivotArea>
    </format>
  </formats>
  <pivotHierarchies count="74">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 tabId="35" name="PivotTable23"/>
  </pivotTables>
  <data>
    <olap pivotCacheId="1540348621">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5" name="PivotTable9"/>
    <pivotTable tabId="13" name="PivotTable7"/>
    <pivotTable tabId="18" name="PivotTable11"/>
    <pivotTable tabId="20" name="PivotTable1"/>
  </pivotTables>
  <data>
    <olap pivotCacheId="1540348621">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29"/>
    <tableColumn id="2" xr3:uid="{84052E1B-5B0A-412B-9E93-92297232CA71}" uniqueName="2" name="Employee_ID" queryTableFieldId="2" dataDxfId="28"/>
    <tableColumn id="3" xr3:uid="{1070FF64-38D3-49BA-8D6A-044541B7A937}" uniqueName="3" name="Date_ID" queryTableFieldId="3" dataDxfId="27"/>
    <tableColumn id="4" xr3:uid="{6ED96138-2046-4D0C-9EBF-D58776E571E8}" uniqueName="4" name="Attrition_Status" queryTableFieldId="4" dataDxfId="26"/>
    <tableColumn id="5" xr3:uid="{B731C2B2-2466-4038-98B8-03C7C56B1DCE}" uniqueName="5" name="Attrition_Status_1" queryTableFieldId="5" dataDxfId="25"/>
    <tableColumn id="6" xr3:uid="{DBA68B2B-11BD-4583-8E94-039C337C64A4}" uniqueName="6" name="Monthly_Income" queryTableFieldId="6"/>
    <tableColumn id="7" xr3:uid="{F70A9823-0CF9-4C9B-8AB8-B4C835C13098}" uniqueName="7" name="OverTime" queryTableFieldId="7" dataDxfId="24"/>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23"/>
    <tableColumn id="2" xr3:uid="{94A2F1D5-16E7-4E41-B409-238FF9E374F2}" uniqueName="2" name="Full_Name" queryTableFieldId="2" dataDxfId="22"/>
    <tableColumn id="3" xr3:uid="{73A3718B-65AF-430A-ACCF-C7568A3122A6}" uniqueName="3" name="Gender" queryTableFieldId="3" dataDxfId="21"/>
    <tableColumn id="4" xr3:uid="{22619D2D-AD3E-4212-82C0-E66F8FE23D17}" uniqueName="4" name="Age" queryTableFieldId="4"/>
    <tableColumn id="5" xr3:uid="{4744766D-7223-44F0-B08D-BE31F8E9AD98}" uniqueName="5" name="Department" queryTableFieldId="5" dataDxfId="20"/>
    <tableColumn id="6" xr3:uid="{8EEA061D-B2F3-4688-B950-2C2A6A4EF16B}" uniqueName="6" name="Job_Role" queryTableFieldId="6" dataDxfId="19"/>
    <tableColumn id="7" xr3:uid="{158F0EC3-EA28-49B3-9A66-BF3D1433A1C0}" uniqueName="7" name="Education_Level" queryTableFieldId="7" dataDxfId="18"/>
    <tableColumn id="8" xr3:uid="{441CE745-8687-46D5-8B81-2BADCA34A554}" uniqueName="8" name="Marital_Status" queryTableFieldId="8" dataDxfId="17"/>
    <tableColumn id="9" xr3:uid="{41BA9FE1-1D4A-487A-978F-BAF97E1C972F}" uniqueName="9" name="Hire_Date" queryTableFieldId="9" dataDxfId="16"/>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14"/>
    <tableColumn id="2" xr3:uid="{7A3EA04E-B891-4817-B74E-D4BE55806D2F}" uniqueName="2" name="Date" queryTableFieldId="2" dataDxfId="13"/>
    <tableColumn id="3" xr3:uid="{D7E12BFC-1F5E-4258-84FC-1D2E70DA8DE8}" uniqueName="3" name="Month" queryTableFieldId="3" dataDxfId="12"/>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10"/>
    <tableColumn id="2" xr3:uid="{042E6865-EE7E-4F5B-AF1D-496E92BB5E29}" uniqueName="2" name="Employee_ID" queryTableFieldId="2" dataDxfId="9"/>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8"/>
    <tableColumn id="2" xr3:uid="{0AEB8978-E8FE-4562-A988-85DA3FC22142}" uniqueName="2" name="Employee_ID" queryTableFieldId="2" dataDxfId="7"/>
    <tableColumn id="3" xr3:uid="{F5FB0E22-B9C4-498C-8743-3EDCDE6099C1}" uniqueName="3" name="Year" queryTableFieldId="3" dataDxfId="6"/>
    <tableColumn id="4" xr3:uid="{DF15CA23-22EB-448D-97C9-9569992DE9FB}" uniqueName="4" name="Performance_Rating" queryTableFieldId="4" dataDxfId="5"/>
    <tableColumn id="5" xr3:uid="{33FA9051-1DB4-4511-93D1-14B621C5B422}" uniqueName="5" name="Last_Promotion_Year" queryTableFieldId="5" dataDxfId="4"/>
    <tableColumn id="6" xr3:uid="{A70D4905-CD7F-4374-9923-257CBEDD4DE1}" uniqueName="6" name="Manager_Feedback" queryTableFieldId="6"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sqref="A1:B11"/>
    </sheetView>
  </sheetViews>
  <sheetFormatPr defaultRowHeight="15" x14ac:dyDescent="0.25"/>
  <cols>
    <col min="1" max="1" width="16.85546875" bestFit="1" customWidth="1"/>
    <col min="2" max="2" width="15" bestFit="1" customWidth="1"/>
    <col min="3" max="3" width="11.28515625" customWidth="1"/>
  </cols>
  <sheetData>
    <row r="1" spans="1:2" ht="17.25" customHeight="1" x14ac:dyDescent="0.25">
      <c r="A1" s="17" t="s">
        <v>2447</v>
      </c>
      <c r="B1" s="17"/>
    </row>
    <row r="3" spans="1:2" x14ac:dyDescent="0.25">
      <c r="A3" s="2" t="s">
        <v>53</v>
      </c>
      <c r="B3" t="s">
        <v>2436</v>
      </c>
    </row>
    <row r="4" spans="1:2" x14ac:dyDescent="0.25">
      <c r="A4" s="3" t="s">
        <v>81</v>
      </c>
      <c r="B4" s="8">
        <v>0</v>
      </c>
    </row>
    <row r="5" spans="1:2" x14ac:dyDescent="0.25">
      <c r="A5" s="3" t="s">
        <v>178</v>
      </c>
      <c r="B5" s="8">
        <v>0</v>
      </c>
    </row>
    <row r="6" spans="1:2" x14ac:dyDescent="0.25">
      <c r="A6" s="3" t="s">
        <v>64</v>
      </c>
      <c r="B6" s="8">
        <v>1</v>
      </c>
    </row>
    <row r="7" spans="1:2" x14ac:dyDescent="0.25">
      <c r="A7" s="3" t="s">
        <v>114</v>
      </c>
      <c r="B7" s="8">
        <v>1</v>
      </c>
    </row>
    <row r="8" spans="1:2" x14ac:dyDescent="0.25">
      <c r="A8" s="3" t="s">
        <v>75</v>
      </c>
      <c r="B8" s="8">
        <v>1</v>
      </c>
    </row>
    <row r="9" spans="1:2" x14ac:dyDescent="0.25">
      <c r="A9" s="3" t="s">
        <v>91</v>
      </c>
      <c r="B9" s="8">
        <v>0</v>
      </c>
    </row>
    <row r="10" spans="1:2" x14ac:dyDescent="0.25">
      <c r="A10" s="3" t="s">
        <v>97</v>
      </c>
      <c r="B10" s="8">
        <v>0</v>
      </c>
    </row>
    <row r="11" spans="1:2" x14ac:dyDescent="0.25">
      <c r="A11" s="3" t="s">
        <v>2429</v>
      </c>
      <c r="B11" s="8">
        <v>3</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8"/>
  <sheetViews>
    <sheetView workbookViewId="0">
      <selection activeCell="C14" sqref="C14"/>
    </sheetView>
  </sheetViews>
  <sheetFormatPr defaultRowHeight="15" x14ac:dyDescent="0.25"/>
  <cols>
    <col min="1" max="1" width="15.140625" bestFit="1" customWidth="1"/>
    <col min="2" max="2" width="15" bestFit="1" customWidth="1"/>
    <col min="3" max="3" width="21" bestFit="1" customWidth="1"/>
  </cols>
  <sheetData>
    <row r="1" spans="1:2" ht="15.75" x14ac:dyDescent="0.25">
      <c r="A1" s="17" t="s">
        <v>2448</v>
      </c>
      <c r="B1" s="17"/>
    </row>
    <row r="3" spans="1:2" x14ac:dyDescent="0.25">
      <c r="A3" s="2" t="s">
        <v>623</v>
      </c>
      <c r="B3" t="s" vm="1">
        <v>651</v>
      </c>
    </row>
    <row r="5" spans="1:2" x14ac:dyDescent="0.25">
      <c r="A5" s="2" t="s">
        <v>51</v>
      </c>
      <c r="B5" t="s">
        <v>2436</v>
      </c>
    </row>
    <row r="6" spans="1:2" x14ac:dyDescent="0.25">
      <c r="A6" s="3" t="s">
        <v>63</v>
      </c>
      <c r="B6" s="19">
        <v>1</v>
      </c>
    </row>
    <row r="7" spans="1:2" x14ac:dyDescent="0.25">
      <c r="A7" s="3" t="s">
        <v>71</v>
      </c>
      <c r="B7" s="19">
        <v>2</v>
      </c>
    </row>
    <row r="8" spans="1:2" x14ac:dyDescent="0.25">
      <c r="A8" s="3" t="s">
        <v>2429</v>
      </c>
      <c r="B8" s="19">
        <v>3</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1"/>
  <sheetViews>
    <sheetView workbookViewId="0">
      <selection activeCell="F20" sqref="F20"/>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1" spans="1:7" x14ac:dyDescent="0.25">
      <c r="A1" s="16" t="s">
        <v>2449</v>
      </c>
      <c r="B1" s="16"/>
      <c r="C1" s="16"/>
    </row>
    <row r="3" spans="1:7" x14ac:dyDescent="0.25">
      <c r="A3" s="2" t="s">
        <v>53</v>
      </c>
      <c r="B3" t="s">
        <v>2437</v>
      </c>
      <c r="C3" t="s">
        <v>2438</v>
      </c>
    </row>
    <row r="4" spans="1:7" x14ac:dyDescent="0.25">
      <c r="A4" s="3" t="s">
        <v>81</v>
      </c>
      <c r="B4" s="4"/>
      <c r="C4" s="4">
        <v>9.4786729857819899E-2</v>
      </c>
    </row>
    <row r="5" spans="1:7" x14ac:dyDescent="0.25">
      <c r="A5" s="3" t="s">
        <v>178</v>
      </c>
      <c r="B5" s="4"/>
      <c r="C5" s="4">
        <v>0.10559006211180125</v>
      </c>
    </row>
    <row r="6" spans="1:7" x14ac:dyDescent="0.25">
      <c r="A6" s="3" t="s">
        <v>64</v>
      </c>
      <c r="B6" s="4">
        <v>0.125</v>
      </c>
      <c r="C6" s="4">
        <v>5.9523809523809521E-2</v>
      </c>
    </row>
    <row r="7" spans="1:7" x14ac:dyDescent="0.25">
      <c r="A7" s="3" t="s">
        <v>114</v>
      </c>
      <c r="B7" s="4">
        <v>0.1111111111111111</v>
      </c>
      <c r="C7" s="4">
        <v>2.4630541871921183E-2</v>
      </c>
      <c r="G7" t="s">
        <v>2430</v>
      </c>
    </row>
    <row r="8" spans="1:7" x14ac:dyDescent="0.25">
      <c r="A8" s="3" t="s">
        <v>75</v>
      </c>
      <c r="B8" s="4">
        <v>7.6923076923076927E-2</v>
      </c>
      <c r="C8" s="4">
        <v>8.771929824561403E-2</v>
      </c>
    </row>
    <row r="9" spans="1:7" x14ac:dyDescent="0.25">
      <c r="A9" s="3" t="s">
        <v>91</v>
      </c>
      <c r="B9" s="4"/>
      <c r="C9" s="4">
        <v>4.7808764940239043E-2</v>
      </c>
    </row>
    <row r="10" spans="1:7" x14ac:dyDescent="0.25">
      <c r="A10" s="3" t="s">
        <v>97</v>
      </c>
      <c r="B10" s="4"/>
      <c r="C10" s="4">
        <v>0.11936339522546419</v>
      </c>
    </row>
    <row r="11" spans="1:7" x14ac:dyDescent="0.25">
      <c r="A11" s="3" t="s">
        <v>2429</v>
      </c>
      <c r="B11" s="4">
        <v>0.05</v>
      </c>
      <c r="C11" s="4">
        <v>8.0133555926544239E-2</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F14" sqref="F14"/>
    </sheetView>
  </sheetViews>
  <sheetFormatPr defaultRowHeight="15" x14ac:dyDescent="0.25"/>
  <cols>
    <col min="1" max="1" width="16.85546875" bestFit="1" customWidth="1"/>
    <col min="2" max="2" width="26.7109375" bestFit="1" customWidth="1"/>
    <col min="3" max="3" width="22.140625" bestFit="1" customWidth="1"/>
  </cols>
  <sheetData>
    <row r="1" spans="1:3" x14ac:dyDescent="0.25">
      <c r="A1" s="16" t="s">
        <v>2450</v>
      </c>
      <c r="B1" s="16"/>
      <c r="C1" s="16"/>
    </row>
    <row r="3" spans="1:3" x14ac:dyDescent="0.25">
      <c r="A3" s="2" t="s">
        <v>53</v>
      </c>
      <c r="B3" t="s">
        <v>2440</v>
      </c>
      <c r="C3" t="s">
        <v>2439</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2429</v>
      </c>
      <c r="B11" s="5">
        <v>3.7</v>
      </c>
      <c r="C11" s="5">
        <v>4.71045631608236</v>
      </c>
    </row>
  </sheetData>
  <mergeCells count="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2:F21"/>
  <sheetViews>
    <sheetView tabSelected="1" zoomScale="102" workbookViewId="0">
      <selection activeCell="A4" sqref="A4"/>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2" spans="1:6" x14ac:dyDescent="0.25">
      <c r="A2" s="16" t="s">
        <v>2451</v>
      </c>
      <c r="B2" s="16"/>
      <c r="C2" s="16"/>
      <c r="D2" s="16"/>
      <c r="E2" s="16"/>
      <c r="F2" s="16"/>
    </row>
    <row r="4" spans="1:6" x14ac:dyDescent="0.25">
      <c r="A4" s="2" t="s">
        <v>53</v>
      </c>
      <c r="B4" t="s">
        <v>2431</v>
      </c>
      <c r="C4" t="s">
        <v>2433</v>
      </c>
      <c r="D4" t="s">
        <v>2432</v>
      </c>
      <c r="E4" t="s">
        <v>2434</v>
      </c>
      <c r="F4" s="15" t="s">
        <v>2435</v>
      </c>
    </row>
    <row r="5" spans="1:6" x14ac:dyDescent="0.25">
      <c r="A5" s="3" t="s">
        <v>81</v>
      </c>
      <c r="B5" s="5">
        <v>3.1111111111111112</v>
      </c>
      <c r="C5" s="5">
        <v>2.9444444444444446</v>
      </c>
      <c r="D5" s="5">
        <v>2.7222222222222223</v>
      </c>
      <c r="E5" s="5">
        <v>2.7222222222222223</v>
      </c>
      <c r="F5" s="7">
        <f>AVERAGE(B5:E5)</f>
        <v>2.875</v>
      </c>
    </row>
    <row r="6" spans="1:6" x14ac:dyDescent="0.25">
      <c r="A6" s="3" t="s">
        <v>178</v>
      </c>
      <c r="B6" s="5">
        <v>2.8</v>
      </c>
      <c r="C6" s="5">
        <v>3.0666666666666669</v>
      </c>
      <c r="D6" s="5">
        <v>3.0666666666666669</v>
      </c>
      <c r="E6" s="5">
        <v>2.6666666666666665</v>
      </c>
      <c r="F6" s="7">
        <f t="shared" ref="F6:F12" si="0">AVERAGE(B6:E6)</f>
        <v>2.9</v>
      </c>
    </row>
    <row r="7" spans="1:6" x14ac:dyDescent="0.25">
      <c r="A7" s="3" t="s">
        <v>64</v>
      </c>
      <c r="B7" s="5">
        <v>2.7916666666666665</v>
      </c>
      <c r="C7" s="5">
        <v>2.8333333333333335</v>
      </c>
      <c r="D7" s="5">
        <v>2.5833333333333335</v>
      </c>
      <c r="E7" s="5">
        <v>2.3333333333333335</v>
      </c>
      <c r="F7" s="7">
        <f t="shared" si="0"/>
        <v>2.635416666666667</v>
      </c>
    </row>
    <row r="8" spans="1:6" x14ac:dyDescent="0.25">
      <c r="A8" s="3" t="s">
        <v>114</v>
      </c>
      <c r="B8" s="5">
        <v>2.7037037037037037</v>
      </c>
      <c r="C8" s="5">
        <v>3.0370370370370372</v>
      </c>
      <c r="D8" s="5">
        <v>2.2222222222222223</v>
      </c>
      <c r="E8" s="5">
        <v>2.7407407407407409</v>
      </c>
      <c r="F8" s="7">
        <f t="shared" si="0"/>
        <v>2.675925925925926</v>
      </c>
    </row>
    <row r="9" spans="1:6" x14ac:dyDescent="0.25">
      <c r="A9" s="3" t="s">
        <v>75</v>
      </c>
      <c r="B9" s="5">
        <v>2.3333333333333335</v>
      </c>
      <c r="C9" s="5">
        <v>2.7692307692307692</v>
      </c>
      <c r="D9" s="5">
        <v>2.4615384615384617</v>
      </c>
      <c r="E9" s="5">
        <v>2.1794871794871793</v>
      </c>
      <c r="F9" s="7">
        <f t="shared" si="0"/>
        <v>2.4358974358974357</v>
      </c>
    </row>
    <row r="10" spans="1:6" x14ac:dyDescent="0.25">
      <c r="A10" s="3" t="s">
        <v>91</v>
      </c>
      <c r="B10" s="5">
        <v>2.8571428571428572</v>
      </c>
      <c r="C10" s="5">
        <v>3.1428571428571428</v>
      </c>
      <c r="D10" s="5">
        <v>2.6666666666666665</v>
      </c>
      <c r="E10" s="5">
        <v>2.5714285714285716</v>
      </c>
      <c r="F10" s="7">
        <f t="shared" si="0"/>
        <v>2.8095238095238093</v>
      </c>
    </row>
    <row r="11" spans="1:6" x14ac:dyDescent="0.25">
      <c r="A11" s="3" t="s">
        <v>97</v>
      </c>
      <c r="B11" s="5">
        <v>2.5833333333333335</v>
      </c>
      <c r="C11" s="5">
        <v>2.8055555555555554</v>
      </c>
      <c r="D11" s="5">
        <v>2.5277777777777777</v>
      </c>
      <c r="E11" s="5">
        <v>2.6666666666666665</v>
      </c>
      <c r="F11" s="14">
        <f t="shared" si="0"/>
        <v>2.6458333333333335</v>
      </c>
    </row>
    <row r="12" spans="1:6" x14ac:dyDescent="0.25">
      <c r="A12" s="3" t="s">
        <v>2429</v>
      </c>
      <c r="B12" s="5">
        <v>2.6777777777777776</v>
      </c>
      <c r="C12" s="5">
        <v>2.911111111111111</v>
      </c>
      <c r="D12" s="5">
        <v>2.5555555555555554</v>
      </c>
      <c r="E12" s="5">
        <v>2.5222222222222221</v>
      </c>
      <c r="F12" s="13">
        <f t="shared" si="0"/>
        <v>2.6666666666666665</v>
      </c>
    </row>
    <row r="14" spans="1:6" x14ac:dyDescent="0.25">
      <c r="A14" s="12" t="s">
        <v>53</v>
      </c>
      <c r="B14" s="12" t="s">
        <v>2431</v>
      </c>
      <c r="C14" s="12" t="s">
        <v>2433</v>
      </c>
      <c r="D14" s="12" t="s">
        <v>2432</v>
      </c>
      <c r="E14" s="12" t="s">
        <v>2434</v>
      </c>
      <c r="F14" s="12" t="s">
        <v>2435</v>
      </c>
    </row>
    <row r="15" spans="1:6" x14ac:dyDescent="0.25">
      <c r="A15" s="10" t="s">
        <v>81</v>
      </c>
      <c r="B15" s="11">
        <v>3.1111111111111112</v>
      </c>
      <c r="C15" s="11">
        <v>2.9444444444444446</v>
      </c>
      <c r="D15" s="11">
        <v>2.7222222222222223</v>
      </c>
      <c r="E15" s="11">
        <v>2.7222222222222223</v>
      </c>
      <c r="F15" s="11">
        <v>2.875</v>
      </c>
    </row>
    <row r="16" spans="1:6" x14ac:dyDescent="0.25">
      <c r="A16" s="10" t="s">
        <v>178</v>
      </c>
      <c r="B16" s="11">
        <v>2.8</v>
      </c>
      <c r="C16" s="11">
        <v>3.0666666666666669</v>
      </c>
      <c r="D16" s="11">
        <v>3.0666666666666669</v>
      </c>
      <c r="E16" s="11">
        <v>2.6666666666666665</v>
      </c>
      <c r="F16" s="11">
        <v>2.9</v>
      </c>
    </row>
    <row r="17" spans="1:6" x14ac:dyDescent="0.25">
      <c r="A17" s="10" t="s">
        <v>64</v>
      </c>
      <c r="B17" s="11">
        <v>2.7916666666666665</v>
      </c>
      <c r="C17" s="11">
        <v>2.8333333333333335</v>
      </c>
      <c r="D17" s="11">
        <v>2.5833333333333335</v>
      </c>
      <c r="E17" s="11">
        <v>2.3333333333333335</v>
      </c>
      <c r="F17" s="11">
        <v>2.635416666666667</v>
      </c>
    </row>
    <row r="18" spans="1:6" x14ac:dyDescent="0.25">
      <c r="A18" s="10" t="s">
        <v>114</v>
      </c>
      <c r="B18" s="11">
        <v>2.7037037037037037</v>
      </c>
      <c r="C18" s="11">
        <v>3.0370370370370372</v>
      </c>
      <c r="D18" s="11">
        <v>2.2222222222222223</v>
      </c>
      <c r="E18" s="11">
        <v>2.7407407407407409</v>
      </c>
      <c r="F18" s="11">
        <v>2.675925925925926</v>
      </c>
    </row>
    <row r="19" spans="1:6" x14ac:dyDescent="0.25">
      <c r="A19" s="10" t="s">
        <v>75</v>
      </c>
      <c r="B19" s="11">
        <v>2.3333333333333335</v>
      </c>
      <c r="C19" s="11">
        <v>2.7692307692307692</v>
      </c>
      <c r="D19" s="11">
        <v>2.4615384615384617</v>
      </c>
      <c r="E19" s="11">
        <v>2.1794871794871793</v>
      </c>
      <c r="F19" s="11">
        <v>2.4358974358974357</v>
      </c>
    </row>
    <row r="20" spans="1:6" x14ac:dyDescent="0.25">
      <c r="A20" s="10" t="s">
        <v>91</v>
      </c>
      <c r="B20" s="11">
        <v>2.8571428571428572</v>
      </c>
      <c r="C20" s="11">
        <v>3.1428571428571428</v>
      </c>
      <c r="D20" s="11">
        <v>2.6666666666666665</v>
      </c>
      <c r="E20" s="11">
        <v>2.5714285714285716</v>
      </c>
      <c r="F20" s="11">
        <v>2.8095238095238093</v>
      </c>
    </row>
    <row r="21" spans="1:6" x14ac:dyDescent="0.25">
      <c r="A21" s="10" t="s">
        <v>97</v>
      </c>
      <c r="B21" s="11">
        <v>2.5833333333333335</v>
      </c>
      <c r="C21" s="11">
        <v>2.8055555555555554</v>
      </c>
      <c r="D21" s="11">
        <v>2.5277777777777777</v>
      </c>
      <c r="E21" s="11">
        <v>2.6666666666666665</v>
      </c>
      <c r="F21" s="11">
        <v>2.6458333333333335</v>
      </c>
    </row>
  </sheetData>
  <mergeCells count="1">
    <mergeCell ref="A2:F2"/>
  </mergeCell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4"/>
  <sheetViews>
    <sheetView workbookViewId="0">
      <selection activeCell="G10" sqref="G10"/>
    </sheetView>
  </sheetViews>
  <sheetFormatPr defaultRowHeight="15" x14ac:dyDescent="0.25"/>
  <cols>
    <col min="1" max="1" width="18.140625" bestFit="1" customWidth="1"/>
    <col min="2" max="2" width="13.140625" bestFit="1" customWidth="1"/>
    <col min="3" max="3" width="22.5703125" bestFit="1" customWidth="1"/>
    <col min="4" max="4" width="14" bestFit="1" customWidth="1"/>
    <col min="5" max="5" width="20.140625" bestFit="1" customWidth="1"/>
  </cols>
  <sheetData>
    <row r="1" spans="1:5" x14ac:dyDescent="0.25">
      <c r="A1" s="16" t="s">
        <v>2452</v>
      </c>
      <c r="B1" s="16"/>
      <c r="C1" s="16"/>
      <c r="D1" s="16"/>
      <c r="E1" s="16"/>
    </row>
    <row r="3" spans="1:5" x14ac:dyDescent="0.25">
      <c r="A3" t="s">
        <v>2441</v>
      </c>
      <c r="B3" t="s">
        <v>2443</v>
      </c>
      <c r="C3" t="s">
        <v>2442</v>
      </c>
      <c r="D3" t="s">
        <v>2444</v>
      </c>
      <c r="E3" t="s">
        <v>2445</v>
      </c>
    </row>
    <row r="4" spans="1:5" x14ac:dyDescent="0.25">
      <c r="A4" s="19">
        <v>57</v>
      </c>
      <c r="B4" s="9">
        <v>0.05</v>
      </c>
      <c r="C4" s="19">
        <v>3.6999999999999962</v>
      </c>
      <c r="D4" s="9">
        <v>8.0133555926544239E-2</v>
      </c>
      <c r="E4" s="6">
        <v>2.6666666666666661</v>
      </c>
    </row>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zoomScaleNormal="100" workbookViewId="0">
      <selection activeCell="X17" sqref="X17"/>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8" t="s">
        <v>2446</v>
      </c>
      <c r="B1" s="18"/>
      <c r="C1" s="18"/>
      <c r="D1" s="18"/>
      <c r="E1" s="18"/>
      <c r="F1" s="18"/>
      <c r="G1" s="18"/>
      <c r="H1" s="18"/>
      <c r="I1" s="18"/>
      <c r="J1" s="18"/>
      <c r="K1" s="18"/>
      <c r="L1" s="18"/>
      <c r="M1" s="18"/>
      <c r="N1" s="18"/>
      <c r="O1" s="18"/>
      <c r="P1" s="18"/>
      <c r="Q1" s="18"/>
      <c r="R1" s="18"/>
      <c r="S1" s="18"/>
      <c r="T1" s="18"/>
      <c r="U1" s="18"/>
    </row>
    <row r="2" spans="1:21" x14ac:dyDescent="0.25">
      <c r="A2" s="18"/>
      <c r="B2" s="18"/>
      <c r="C2" s="18"/>
      <c r="D2" s="18"/>
      <c r="E2" s="18"/>
      <c r="F2" s="18"/>
      <c r="G2" s="18"/>
      <c r="H2" s="18"/>
      <c r="I2" s="18"/>
      <c r="J2" s="18"/>
      <c r="K2" s="18"/>
      <c r="L2" s="18"/>
      <c r="M2" s="18"/>
      <c r="N2" s="18"/>
      <c r="O2" s="18"/>
      <c r="P2" s="18"/>
      <c r="Q2" s="18"/>
      <c r="R2" s="18"/>
      <c r="S2" s="18"/>
      <c r="T2" s="18"/>
      <c r="U2" s="18"/>
    </row>
    <row r="10" spans="1:21" ht="15" customHeight="1" x14ac:dyDescent="0.25"/>
  </sheetData>
  <mergeCells count="1">
    <mergeCell ref="A1:U2"/>
  </mergeCells>
  <pageMargins left="0.7" right="0.7" top="0.75" bottom="0.75" header="0.3" footer="0.3"/>
  <pageSetup scale="45"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E64802F4-BA84-4E2B-980F-547E62FE7005}">
  <ds:schemaRefs/>
</ds:datastoreItem>
</file>

<file path=customXml/itemProps2.xml><?xml version="1.0" encoding="utf-8"?>
<ds:datastoreItem xmlns:ds="http://schemas.openxmlformats.org/officeDocument/2006/customXml" ds:itemID="{C23CF911-118B-42C3-A997-9B8E43612563}">
  <ds:schemaRefs/>
</ds:datastoreItem>
</file>

<file path=customXml/itemProps3.xml><?xml version="1.0" encoding="utf-8"?>
<ds:datastoreItem xmlns:ds="http://schemas.openxmlformats.org/officeDocument/2006/customXml" ds:itemID="{C5C43894-5394-4F7B-97B8-72240AE7BBC6}">
  <ds:schemaRefs/>
</ds:datastoreItem>
</file>

<file path=customXml/itemProps4.xml><?xml version="1.0" encoding="utf-8"?>
<ds:datastoreItem xmlns:ds="http://schemas.openxmlformats.org/officeDocument/2006/customXml" ds:itemID="{833B9B79-CF41-44A2-8D2E-76FB9FCC4053}">
  <ds:schemaRefs/>
</ds:datastoreItem>
</file>

<file path=customXml/itemProps5.xml><?xml version="1.0" encoding="utf-8"?>
<ds:datastoreItem xmlns:ds="http://schemas.openxmlformats.org/officeDocument/2006/customXml" ds:itemID="{7FB9FB99-6510-4F1B-9062-5E092679B652}">
  <ds:schemaRefs/>
</ds:datastoreItem>
</file>

<file path=customXml/itemProps6.xml><?xml version="1.0" encoding="utf-8"?>
<ds:datastoreItem xmlns:ds="http://schemas.openxmlformats.org/officeDocument/2006/customXml" ds:itemID="{DD3EB15F-1600-4915-ADAE-2D899563A377}">
  <ds:schemaRefs/>
</ds:datastoreItem>
</file>

<file path=customXml/itemProps7.xml><?xml version="1.0" encoding="utf-8"?>
<ds:datastoreItem xmlns:ds="http://schemas.openxmlformats.org/officeDocument/2006/customXml" ds:itemID="{AC70F371-0EF2-4F80-8700-402F4791FA99}">
  <ds:schemaRefs/>
</ds:datastoreItem>
</file>

<file path=customXml/itemProps8.xml><?xml version="1.0" encoding="utf-8"?>
<ds:datastoreItem xmlns:ds="http://schemas.openxmlformats.org/officeDocument/2006/customXml" ds:itemID="{DE4574EE-B164-4F6F-B2BF-7FFB1B147A8F}">
  <ds:schemaRefs/>
</ds:datastoreItem>
</file>

<file path=customXml/itemProps9.xml><?xml version="1.0" encoding="utf-8"?>
<ds:datastoreItem xmlns:ds="http://schemas.openxmlformats.org/officeDocument/2006/customXml" ds:itemID="{8F219861-B4CE-4436-AAE5-BC49380D4C59}">
  <ds:schemaRefs/>
</ds:datastoreItem>
</file>

<file path=customXml/itemProps10.xml><?xml version="1.0" encoding="utf-8"?>
<ds:datastoreItem xmlns:ds="http://schemas.openxmlformats.org/officeDocument/2006/customXml" ds:itemID="{1B67E642-8D3F-47FE-88BA-B07462E5C9A7}">
  <ds:schemaRefs/>
</ds:datastoreItem>
</file>

<file path=customXml/itemProps11.xml><?xml version="1.0" encoding="utf-8"?>
<ds:datastoreItem xmlns:ds="http://schemas.openxmlformats.org/officeDocument/2006/customXml" ds:itemID="{82C8EEB2-E62D-4744-BCA0-EF7F399BEAA1}">
  <ds:schemaRefs/>
</ds:datastoreItem>
</file>

<file path=customXml/itemProps12.xml><?xml version="1.0" encoding="utf-8"?>
<ds:datastoreItem xmlns:ds="http://schemas.openxmlformats.org/officeDocument/2006/customXml" ds:itemID="{9296BEE2-B6BF-4BE0-BBB2-D5A6DEE19240}">
  <ds:schemaRefs/>
</ds:datastoreItem>
</file>

<file path=customXml/itemProps13.xml><?xml version="1.0" encoding="utf-8"?>
<ds:datastoreItem xmlns:ds="http://schemas.openxmlformats.org/officeDocument/2006/customXml" ds:itemID="{C51036B2-ABB9-4150-AA3D-45A518240084}">
  <ds:schemaRefs/>
</ds:datastoreItem>
</file>

<file path=customXml/itemProps14.xml><?xml version="1.0" encoding="utf-8"?>
<ds:datastoreItem xmlns:ds="http://schemas.openxmlformats.org/officeDocument/2006/customXml" ds:itemID="{E2EC649D-AE0C-49F7-8D09-239F1189AA1A}">
  <ds:schemaRefs/>
</ds:datastoreItem>
</file>

<file path=customXml/itemProps15.xml><?xml version="1.0" encoding="utf-8"?>
<ds:datastoreItem xmlns:ds="http://schemas.openxmlformats.org/officeDocument/2006/customXml" ds:itemID="{15897152-5877-4429-9BF5-635043264F96}">
  <ds:schemaRefs/>
</ds:datastoreItem>
</file>

<file path=customXml/itemProps16.xml><?xml version="1.0" encoding="utf-8"?>
<ds:datastoreItem xmlns:ds="http://schemas.openxmlformats.org/officeDocument/2006/customXml" ds:itemID="{D866FFBE-575C-4837-818C-CE8379B0462C}">
  <ds:schemaRefs/>
</ds:datastoreItem>
</file>

<file path=customXml/itemProps17.xml><?xml version="1.0" encoding="utf-8"?>
<ds:datastoreItem xmlns:ds="http://schemas.openxmlformats.org/officeDocument/2006/customXml" ds:itemID="{91A78DD9-E54A-4DBA-9A5B-308593072B12}">
  <ds:schemaRefs/>
</ds:datastoreItem>
</file>

<file path=customXml/itemProps18.xml><?xml version="1.0" encoding="utf-8"?>
<ds:datastoreItem xmlns:ds="http://schemas.openxmlformats.org/officeDocument/2006/customXml" ds:itemID="{B01C8C6A-4219-459E-A5DA-16258105C774}">
  <ds:schemaRefs/>
</ds:datastoreItem>
</file>

<file path=customXml/itemProps19.xml><?xml version="1.0" encoding="utf-8"?>
<ds:datastoreItem xmlns:ds="http://schemas.openxmlformats.org/officeDocument/2006/customXml" ds:itemID="{A25514F3-2D71-46B8-8C5A-3760C7529716}">
  <ds:schemaRefs/>
</ds:datastoreItem>
</file>

<file path=customXml/itemProps20.xml><?xml version="1.0" encoding="utf-8"?>
<ds:datastoreItem xmlns:ds="http://schemas.openxmlformats.org/officeDocument/2006/customXml" ds:itemID="{55EB4C03-47C2-49CB-8E7C-730226FBEAEE}">
  <ds:schemaRefs/>
</ds:datastoreItem>
</file>

<file path=customXml/itemProps21.xml><?xml version="1.0" encoding="utf-8"?>
<ds:datastoreItem xmlns:ds="http://schemas.openxmlformats.org/officeDocument/2006/customXml" ds:itemID="{25375470-AACD-4173-8789-C87ABCC535DC}">
  <ds:schemaRefs/>
</ds:datastoreItem>
</file>

<file path=customXml/itemProps22.xml><?xml version="1.0" encoding="utf-8"?>
<ds:datastoreItem xmlns:ds="http://schemas.openxmlformats.org/officeDocument/2006/customXml" ds:itemID="{34B267DE-D14D-4FA3-8E4C-44541E02DC1A}">
  <ds:schemaRefs/>
</ds:datastoreItem>
</file>

<file path=customXml/itemProps23.xml><?xml version="1.0" encoding="utf-8"?>
<ds:datastoreItem xmlns:ds="http://schemas.openxmlformats.org/officeDocument/2006/customXml" ds:itemID="{32041F71-A6F0-44F2-AD3A-B090A9B5550A}">
  <ds:schemaRefs/>
</ds:datastoreItem>
</file>

<file path=customXml/itemProps24.xml><?xml version="1.0" encoding="utf-8"?>
<ds:datastoreItem xmlns:ds="http://schemas.openxmlformats.org/officeDocument/2006/customXml" ds:itemID="{31162E4D-DB71-4B24-AB80-C011289427D8}">
  <ds:schemaRefs>
    <ds:schemaRef ds:uri="http://schemas.microsoft.com/DataMashup"/>
  </ds:schemaRefs>
</ds:datastoreItem>
</file>

<file path=customXml/itemProps25.xml><?xml version="1.0" encoding="utf-8"?>
<ds:datastoreItem xmlns:ds="http://schemas.openxmlformats.org/officeDocument/2006/customXml" ds:itemID="{07DBC09F-CF42-4C2E-B72E-03BCE5C88588}">
  <ds:schemaRefs/>
</ds:datastoreItem>
</file>

<file path=customXml/itemProps26.xml><?xml version="1.0" encoding="utf-8"?>
<ds:datastoreItem xmlns:ds="http://schemas.openxmlformats.org/officeDocument/2006/customXml" ds:itemID="{9EE84D98-64CA-4517-863C-A932AE31BC6F}">
  <ds:schemaRefs/>
</ds:datastoreItem>
</file>

<file path=customXml/itemProps27.xml><?xml version="1.0" encoding="utf-8"?>
<ds:datastoreItem xmlns:ds="http://schemas.openxmlformats.org/officeDocument/2006/customXml" ds:itemID="{C6DAEDA1-86A6-497D-A7CC-BEFEB208E04A}">
  <ds:schemaRefs/>
</ds:datastoreItem>
</file>

<file path=customXml/itemProps28.xml><?xml version="1.0" encoding="utf-8"?>
<ds:datastoreItem xmlns:ds="http://schemas.openxmlformats.org/officeDocument/2006/customXml" ds:itemID="{9ED77C92-DDD5-4836-8FFA-1414AA5C6957}">
  <ds:schemaRefs/>
</ds:datastoreItem>
</file>

<file path=customXml/itemProps29.xml><?xml version="1.0" encoding="utf-8"?>
<ds:datastoreItem xmlns:ds="http://schemas.openxmlformats.org/officeDocument/2006/customXml" ds:itemID="{3C2423B7-1326-47AA-B5FB-0F10BF01C18B}">
  <ds:schemaRefs/>
</ds:datastoreItem>
</file>

<file path=customXml/itemProps30.xml><?xml version="1.0" encoding="utf-8"?>
<ds:datastoreItem xmlns:ds="http://schemas.openxmlformats.org/officeDocument/2006/customXml" ds:itemID="{CDF27BF0-4A5C-4585-9361-07ADC5EE805E}">
  <ds:schemaRefs/>
</ds:datastoreItem>
</file>

<file path=customXml/itemProps31.xml><?xml version="1.0" encoding="utf-8"?>
<ds:datastoreItem xmlns:ds="http://schemas.openxmlformats.org/officeDocument/2006/customXml" ds:itemID="{029A63B9-58B0-4731-82EC-E5EC603C04B9}">
  <ds:schemaRefs/>
</ds:datastoreItem>
</file>

<file path=customXml/itemProps32.xml><?xml version="1.0" encoding="utf-8"?>
<ds:datastoreItem xmlns:ds="http://schemas.openxmlformats.org/officeDocument/2006/customXml" ds:itemID="{B39491BF-E6D9-4F53-8697-4D9ED3D6BA07}">
  <ds:schemaRefs/>
</ds:datastoreItem>
</file>

<file path=customXml/itemProps33.xml><?xml version="1.0" encoding="utf-8"?>
<ds:datastoreItem xmlns:ds="http://schemas.openxmlformats.org/officeDocument/2006/customXml" ds:itemID="{DCBA5BB8-FBF5-41A2-9EF7-B79852C492DF}">
  <ds:schemaRefs/>
</ds:datastoreItem>
</file>

<file path=customXml/itemProps34.xml><?xml version="1.0" encoding="utf-8"?>
<ds:datastoreItem xmlns:ds="http://schemas.openxmlformats.org/officeDocument/2006/customXml" ds:itemID="{5094F045-17A7-40F1-9309-19A243E1BEAE}">
  <ds:schemaRefs/>
</ds:datastoreItem>
</file>

<file path=customXml/itemProps35.xml><?xml version="1.0" encoding="utf-8"?>
<ds:datastoreItem xmlns:ds="http://schemas.openxmlformats.org/officeDocument/2006/customXml" ds:itemID="{D0165DF5-BF5B-491A-BD12-A47E570588BD}">
  <ds:schemaRefs/>
</ds:datastoreItem>
</file>

<file path=customXml/itemProps36.xml><?xml version="1.0" encoding="utf-8"?>
<ds:datastoreItem xmlns:ds="http://schemas.openxmlformats.org/officeDocument/2006/customXml" ds:itemID="{95B183A8-EB49-42F5-9F22-9CA49E59DA4F}">
  <ds:schemaRefs/>
</ds:datastoreItem>
</file>

<file path=customXml/itemProps37.xml><?xml version="1.0" encoding="utf-8"?>
<ds:datastoreItem xmlns:ds="http://schemas.openxmlformats.org/officeDocument/2006/customXml" ds:itemID="{CEEDFB86-A275-4F6F-ACB1-2074FE57F71A}">
  <ds:schemaRefs/>
</ds:datastoreItem>
</file>

<file path=customXml/itemProps38.xml><?xml version="1.0" encoding="utf-8"?>
<ds:datastoreItem xmlns:ds="http://schemas.openxmlformats.org/officeDocument/2006/customXml" ds:itemID="{78776B21-DD06-433C-A62E-A91B4C975036}">
  <ds:schemaRefs/>
</ds:datastoreItem>
</file>

<file path=customXml/itemProps39.xml><?xml version="1.0" encoding="utf-8"?>
<ds:datastoreItem xmlns:ds="http://schemas.openxmlformats.org/officeDocument/2006/customXml" ds:itemID="{66F2B913-B075-4F0D-9BB7-FF1DFDC30005}">
  <ds:schemaRefs/>
</ds:datastoreItem>
</file>

<file path=customXml/itemProps40.xml><?xml version="1.0" encoding="utf-8"?>
<ds:datastoreItem xmlns:ds="http://schemas.openxmlformats.org/officeDocument/2006/customXml" ds:itemID="{D0E945CE-D674-4E76-8D1A-5EE90A878840}">
  <ds:schemaRefs/>
</ds:datastoreItem>
</file>

<file path=customXml/itemProps41.xml><?xml version="1.0" encoding="utf-8"?>
<ds:datastoreItem xmlns:ds="http://schemas.openxmlformats.org/officeDocument/2006/customXml" ds:itemID="{5A94C9FD-769A-4076-994F-9F7802F3CB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Pivot_Avg_Performance_Tenure</vt:lpstr>
      <vt:lpstr>Pivot_Avg_Employee_Experience</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cp:lastPrinted>2026-06-17T14:47:53Z</cp:lastPrinted>
  <dcterms:created xsi:type="dcterms:W3CDTF">2026-06-14T13:53:19Z</dcterms:created>
  <dcterms:modified xsi:type="dcterms:W3CDTF">2026-06-17T21:14:21Z</dcterms:modified>
</cp:coreProperties>
</file>